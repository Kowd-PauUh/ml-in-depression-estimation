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L961KX\Private\MSc\Thesis\Systematic Review\"/>
    </mc:Choice>
  </mc:AlternateContent>
  <xr:revisionPtr revIDLastSave="0" documentId="13_ncr:1_{27849DE5-AAFD-43AB-AD0A-8C0D17F8273B}" xr6:coauthVersionLast="47" xr6:coauthVersionMax="47" xr10:uidLastSave="{00000000-0000-0000-0000-000000000000}"/>
  <bookViews>
    <workbookView xWindow="-110" yWindow="-110" windowWidth="19420" windowHeight="10300" activeTab="2" xr2:uid="{00000000-000D-0000-FFFF-FFFF00000000}"/>
  </bookViews>
  <sheets>
    <sheet name="Screening" sheetId="1" r:id="rId1"/>
    <sheet name="Daily plan" sheetId="3" state="hidden" r:id="rId2"/>
    <sheet name="Sta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 r="D4" i="2"/>
  <c r="D5" i="2"/>
  <c r="C3" i="2"/>
  <c r="C4" i="2"/>
  <c r="E4" i="2"/>
  <c r="C5" i="2"/>
  <c r="E5" i="2"/>
  <c r="C6" i="2"/>
  <c r="D7" i="2"/>
  <c r="D3" i="2" l="1"/>
  <c r="E3" i="2" l="1"/>
  <c r="E6" i="2" l="1"/>
  <c r="F6" i="2" s="1"/>
  <c r="F5" i="2"/>
  <c r="F4" i="2"/>
  <c r="AF56" i="1" l="1"/>
  <c r="AF50" i="1"/>
  <c r="AF43" i="1"/>
  <c r="AF36" i="1"/>
  <c r="AF23" i="1"/>
  <c r="AF22" i="1"/>
  <c r="AF20" i="1"/>
  <c r="AF2" i="1"/>
  <c r="AF5" i="1"/>
  <c r="AF6" i="1"/>
  <c r="AF8" i="1"/>
  <c r="AF10" i="1"/>
  <c r="AF14" i="1"/>
  <c r="AF15" i="1"/>
  <c r="AF16" i="1"/>
  <c r="AF17" i="1"/>
  <c r="AF18" i="1"/>
  <c r="AF19" i="1"/>
  <c r="AF21" i="1"/>
  <c r="AF24" i="1"/>
  <c r="AF25" i="1"/>
  <c r="AF27" i="1"/>
  <c r="AF28" i="1"/>
  <c r="AF29" i="1"/>
  <c r="AF30" i="1"/>
  <c r="AF31" i="1"/>
  <c r="AF32" i="1"/>
  <c r="AF33" i="1"/>
  <c r="AF34" i="1"/>
  <c r="AF35" i="1"/>
  <c r="AF37" i="1"/>
  <c r="AF38" i="1"/>
  <c r="AF39" i="1"/>
  <c r="AF40" i="1"/>
  <c r="AF41" i="1"/>
  <c r="AF42" i="1"/>
  <c r="AF44" i="1"/>
  <c r="AF45" i="1"/>
  <c r="AF46" i="1"/>
  <c r="AF47" i="1"/>
  <c r="AF48" i="1"/>
  <c r="AF49" i="1"/>
  <c r="AF51" i="1"/>
  <c r="AF52" i="1"/>
  <c r="AF53" i="1"/>
  <c r="AF54" i="1"/>
  <c r="AF55" i="1"/>
  <c r="AF57" i="1"/>
  <c r="AF58" i="1"/>
  <c r="AF59" i="1"/>
  <c r="AF60" i="1"/>
  <c r="AF61" i="1"/>
  <c r="AF62" i="1"/>
  <c r="AF63" i="1"/>
  <c r="AF64" i="1"/>
  <c r="AF65" i="1"/>
  <c r="AF66" i="1"/>
  <c r="AF67" i="1"/>
  <c r="AF68" i="1"/>
  <c r="AF69" i="1"/>
  <c r="AF70" i="1"/>
  <c r="L2" i="1" l="1"/>
  <c r="L3" i="1"/>
  <c r="AF3" i="1" s="1"/>
  <c r="L4" i="1"/>
  <c r="AF4" i="1" s="1"/>
  <c r="L5" i="1"/>
  <c r="L6" i="1"/>
  <c r="L7" i="1"/>
  <c r="AF7" i="1" s="1"/>
  <c r="L8" i="1"/>
  <c r="L9" i="1"/>
  <c r="AF9" i="1" s="1"/>
  <c r="L10" i="1"/>
  <c r="L11" i="1"/>
  <c r="AF11" i="1" s="1"/>
  <c r="L12" i="1"/>
  <c r="L13" i="1"/>
  <c r="AF13" i="1" s="1"/>
  <c r="L14" i="1"/>
  <c r="L15" i="1"/>
  <c r="L16" i="1"/>
  <c r="L17" i="1"/>
  <c r="L18" i="1"/>
  <c r="L19" i="1"/>
  <c r="L20" i="1"/>
  <c r="L21" i="1"/>
  <c r="L22" i="1"/>
  <c r="L23" i="1"/>
  <c r="L24" i="1"/>
  <c r="L25" i="1"/>
  <c r="L26" i="1"/>
  <c r="AF26" i="1" s="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P71" i="1" l="1"/>
  <c r="Q71" i="1"/>
  <c r="R71" i="1"/>
  <c r="S71" i="1"/>
  <c r="T71" i="1"/>
  <c r="U71" i="1"/>
  <c r="V71" i="1"/>
  <c r="W71" i="1"/>
  <c r="X71" i="1"/>
  <c r="Y71" i="1"/>
  <c r="Z71" i="1"/>
  <c r="AA71" i="1"/>
  <c r="AB71" i="1"/>
  <c r="AC71" i="1"/>
  <c r="AD71" i="1"/>
  <c r="O71" i="1"/>
  <c r="N71" i="1"/>
  <c r="E71" i="1"/>
  <c r="K71" i="1"/>
  <c r="G71" i="1" l="1"/>
  <c r="H71" i="1"/>
  <c r="I71" i="1"/>
  <c r="J71" i="1"/>
  <c r="AF71" i="1" l="1"/>
  <c r="E3" i="3" l="1"/>
  <c r="F3" i="3"/>
  <c r="G3" i="3"/>
  <c r="H3" i="3"/>
  <c r="M3" i="3"/>
  <c r="C3" i="3"/>
  <c r="O3" i="3"/>
  <c r="I3" i="3"/>
  <c r="J3" i="3"/>
  <c r="K3" i="3"/>
  <c r="L3" i="3"/>
  <c r="N3" i="3"/>
  <c r="D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tc={5D057E5A-42CB-4259-8709-A89C3D6C2230}</author>
    <author>tc={79508095-8E16-416A-BF8B-5B5279A15CE1}</author>
    <author>tc={F86C4174-60D2-4FC6-8389-F12818B26BD5}</author>
    <author>tc={B5EAB9F7-0AE9-4931-BB91-52148E0426EE}</author>
    <author>tc={FEE213E9-B2AB-4BEB-96BB-F88A4F6F6E00}</author>
    <author>tc={BDDCF5EA-6C00-486C-8740-6B3CD03A56DA}</author>
    <author>tc={CC65231D-AAC7-43BF-BA82-72E4C9F49DB4}</author>
    <author>tc={60B38F2D-2F4B-4D58-ADC3-4EFA20A0A96E}</author>
    <author>tc={1EEF701B-05E4-4D1E-AB72-D4E6066687A0}</author>
    <author>tc={8EFD9F19-A637-4C3F-B29D-5620B4B63655}</author>
    <author>tc={2858797F-ABD1-436E-860C-1093E77B12CA}</author>
    <author>tc={76D1A208-D5C5-44DA-8866-910731DB5085}</author>
    <author>tc={76BC6730-609F-406A-B2AD-C7EC32FAE086}</author>
    <author>tc={8BC6581E-1C6B-4387-A698-FCD3A8B2212A}</author>
    <author>tc={709B6597-E5AD-4892-914A-82108D046979}</author>
    <author>tc={E0BEA98A-0BEC-423A-82D7-A4AA8109AC53}</author>
    <author>tc={AA1499B5-5830-4E92-B28A-0EF56A52285B}</author>
    <author>tc={CBA74822-276B-4345-B6B3-C0D64F61D1DF}</author>
    <author>tc={254CD2DD-931F-45DC-8ED9-87977B029CD0}</author>
    <author>tc={5630F4FC-2CC8-4923-8364-B6F48EB45CBC}</author>
    <author>tc={FA3F49E3-4DA1-47F9-AB5D-838D3A2CAE63}</author>
    <author>tc={111562B1-5DFE-49F1-B874-6DBA9DF30004}</author>
    <author>tc={F1EABA69-DA2E-49FB-AFDA-0357EE5A061F}</author>
    <author>tc={8986CB0F-B8A4-498D-BC9D-ABBAD742861C}</author>
    <author>tc={368A7AAE-66F3-4A62-9141-BF8E98A15A03}</author>
    <author>tc={43F8C289-2E91-4D60-9953-E28052238D87}</author>
    <author>tc={AC052D26-1F44-4410-A1CD-7D61BF3BAE9E}</author>
    <author>tc={B5D1A18F-DD57-48B5-9822-F5DF685505C8}</author>
    <author>tc={573C4B64-AF38-4061-B2D8-34456229A2E2}</author>
    <author>tc={174AACDC-C7EF-44EA-AD01-42660F41F07B}</author>
    <author>tc={872E8225-9564-4265-B071-22DA41D5A2EE}</author>
    <author>tc={624FBEE8-632F-436D-A5CB-5F14B0314075}</author>
    <author>tc={97208876-CDBE-4B96-9F1D-0626AAB08014}</author>
    <author>tc={C8293E43-FCED-40D6-B9BB-A60CAAF7FE0F}</author>
    <author>tc={AE92E9F8-6B12-4215-A6AF-DA40B5A77674}</author>
    <author>tc={99A0671D-42C6-4B66-9115-8665D2AFD6C5}</author>
    <author>tc={78C498E1-2855-4FFA-B2E5-6CA69369AD88}</author>
    <author>tc={9B68B1A4-6F77-4C20-83B9-932BBA13DBFA}</author>
    <author>tc={9EE4B5EC-C74D-4ACE-A823-A5A9548E0488}</author>
    <author>tc={2A88D3A4-3D01-4A31-9D88-4DB18487C5CC}</author>
    <author>tc={DA3EDAE9-AD1D-4518-A404-A0062D753D4F}</author>
    <author>tc={4A25A468-1073-4BD0-9363-2EA8C91917EF}</author>
    <author>tc={AEABD4DE-B112-4A6A-9CEE-C655D1C68564}</author>
    <author>tc={F8491903-E287-4F11-BBFA-AC518C5B5DF8}</author>
    <author>tc={B371964B-2AAC-4AC9-A5AE-70545583CE99}</author>
  </authors>
  <commentList>
    <comment ref="P3" authorId="0" shapeId="0" xr:uid="{5D057E5A-42CB-4259-8709-A89C3D6C2230}">
      <text>
        <t>[Threaded comment]
Your version of Excel allows you to read this threaded comment; however, any edits to it will get removed if the file is opened in a newer version of Excel. Learn more: https://go.microsoft.com/fwlink/?linkid=870924
Comment:
    Bi-LSTM and attention details are not provided.</t>
      </text>
    </comment>
    <comment ref="R3" authorId="1" shapeId="0" xr:uid="{79508095-8E16-416A-BF8B-5B5279A15CE1}">
      <text>
        <t>[Threaded comment]
Your version of Excel allows you to read this threaded comment; however, any edits to it will get removed if the file is opened in a newer version of Excel. Learn more: https://go.microsoft.com/fwlink/?linkid=870924
Comment:
    Hyperparameters were tuned on evaluation set, however exact target metric used for best model selection is not reported.</t>
      </text>
    </comment>
    <comment ref="U3" authorId="2" shapeId="0" xr:uid="{F86C4174-60D2-4FC6-8389-F12818B26BD5}">
      <text>
        <t>[Threaded comment]
Your version of Excel allows you to read this threaded comment; however, any edits to it will get removed if the file is opened in a newer version of Excel. Learn more: https://go.microsoft.com/fwlink/?linkid=870924
Comment:
    Results on DAIC-WOZ are presented only in a form of chart „when the top-k features are dropped using different dropping criterion”. No specific numeric value provided.</t>
      </text>
    </comment>
    <comment ref="M4" authorId="3" shapeId="0" xr:uid="{B5EAB9F7-0AE9-4931-BB91-52148E0426EE}">
      <text>
        <t>[Threaded comment]
Your version of Excel allows you to read this threaded comment; however, any edits to it will get removed if the file is opened in a newer version of Excel. Learn more: https://go.microsoft.com/fwlink/?linkid=870924
Comment:
    Process description of aligning 20s audio clips with 5 consecutive sentences is vague.</t>
      </text>
    </comment>
    <comment ref="Q4" authorId="4" shapeId="0" xr:uid="{FEE213E9-B2AB-4BEB-96BB-F88A4F6F6E00}">
      <text>
        <t>[Threaded comment]
Your version of Excel allows you to read this threaded comment; however, any edits to it will get removed if the file is opened in a newer version of Excel. Learn more: https://go.microsoft.com/fwlink/?linkid=870924
Comment:
    Training details are not disclosed (optimizer, learning rate, batch size, etc).</t>
      </text>
    </comment>
    <comment ref="R4" authorId="5" shapeId="0" xr:uid="{BDDCF5EA-6C00-486C-8740-6B3CD03A56DA}">
      <text>
        <t>[Threaded comment]
Your version of Excel allows you to read this threaded comment; however, any edits to it will get removed if the file is opened in a newer version of Excel. Learn more: https://go.microsoft.com/fwlink/?linkid=870924
Comment:
    Early stopping is mentioned, but the validation metric is not specified, nor the patience value. Number of cross-validation runs is not reported and 6:2:2 partitioning scheme as well as results reported withoud std suggest single run.</t>
      </text>
    </comment>
    <comment ref="U4" authorId="6" shapeId="0" xr:uid="{CC65231D-AAC7-43BF-BA82-72E4C9F49DB4}">
      <text>
        <t>[Threaded comment]
Your version of Excel allows you to read this threaded comment; however, any edits to it will get removed if the file is opened in a newer version of Excel. Learn more: https://go.microsoft.com/fwlink/?linkid=870924
Comment:
    Reported results regard unknown partition.</t>
      </text>
    </comment>
    <comment ref="Q7" authorId="7" shapeId="0" xr:uid="{60B38F2D-2F4B-4D58-ADC3-4EFA20A0A96E}">
      <text>
        <t>[Threaded comment]
Your version of Excel allows you to read this threaded comment; however, any edits to it will get removed if the file is opened in a newer version of Excel. Learn more: https://go.microsoft.com/fwlink/?linkid=870924
Comment:
    Training details are not disclosed (optimizer, learning rate, batch size, epochs, etc), only LoRA hyperparameters.</t>
      </text>
    </comment>
    <comment ref="R7" authorId="8" shapeId="0" xr:uid="{1EEF701B-05E4-4D1E-AB72-D4E6066687A0}">
      <text>
        <t>[Threaded comment]
Your version of Excel allows you to read this threaded comment; however, any edits to it will get removed if the file is opened in a newer version of Excel. Learn more: https://go.microsoft.com/fwlink/?linkid=870924
Comment:
    Final model selection procedure is not disclosed.</t>
      </text>
    </comment>
    <comment ref="X7" authorId="9" shapeId="0" xr:uid="{8EFD9F19-A637-4C3F-B29D-5620B4B63655}">
      <text>
        <t>[Threaded comment]
Your version of Excel allows you to read this threaded comment; however, any edits to it will get removed if the file is opened in a newer version of Excel. Learn more: https://go.microsoft.com/fwlink/?linkid=870924
Comment:
    Three rows in Table 2 show identical numbers - potentially reporting error.</t>
      </text>
    </comment>
    <comment ref="H8" authorId="10" shapeId="0" xr:uid="{2858797F-ABD1-436E-860C-1093E77B12CA}">
      <text>
        <t>[Threaded comment]
Your version of Excel allows you to read this threaded comment; however, any edits to it will get removed if the file is opened in a newer version of Excel. Learn more: https://go.microsoft.com/fwlink/?linkid=870924
Comment:
    For DAIC-WOZ only F1 is reported</t>
      </text>
    </comment>
    <comment ref="Q9" authorId="11" shapeId="0" xr:uid="{76D1A208-D5C5-44DA-8866-910731DB5085}">
      <text>
        <t>[Threaded comment]
Your version of Excel allows you to read this threaded comment; however, any edits to it will get removed if the file is opened in a newer version of Excel. Learn more: https://go.microsoft.com/fwlink/?linkid=870924
Comment:
    Optimizer used for training is not disclosed.</t>
      </text>
    </comment>
    <comment ref="R9" authorId="12" shapeId="0" xr:uid="{76BC6730-609F-406A-B2AD-C7EC32FAE086}">
      <text>
        <t>[Threaded comment]
Your version of Excel allows you to read this threaded comment; however, any edits to it will get removed if the file is opened in a newer version of Excel. Learn more: https://go.microsoft.com/fwlink/?linkid=870924
Comment:
    Final model selection procedure is not disclosed.</t>
      </text>
    </comment>
    <comment ref="U9" authorId="13" shapeId="0" xr:uid="{8BC6581E-1C6B-4387-A698-FCD3A8B2212A}">
      <text>
        <t>[Threaded comment]
Your version of Excel allows you to read this threaded comment; however, any edits to it will get removed if the file is opened in a newer version of Excel. Learn more: https://go.microsoft.com/fwlink/?linkid=870924
Comment:
    Fig. 14. shows clear overfitting to the test set due to the data leakage - test loss decreases no matter how long the model is trained.</t>
      </text>
    </comment>
    <comment ref="M11" authorId="14" shapeId="0" xr:uid="{709B6597-E5AD-4892-914A-82108D046979}">
      <text>
        <t>[Threaded comment]
Your version of Excel allows you to read this threaded comment; however, any edits to it will get removed if the file is opened in a newer version of Excel. Learn more: https://go.microsoft.com/fwlink/?linkid=870924
Comment:
    Audio normalization and data augmentation procedures are not disclosed.</t>
      </text>
    </comment>
    <comment ref="O11" authorId="15" shapeId="0" xr:uid="{E0BEA98A-0BEC-423A-82D7-A4AA8109AC53}">
      <text>
        <t>[Threaded comment]
Your version of Excel allows you to read this threaded comment; however, any edits to it will get removed if the file is opened in a newer version of Excel. Learn more: https://go.microsoft.com/fwlink/?linkid=870924
Comment:
    Partitions disjoint level is not disclosed.</t>
      </text>
    </comment>
    <comment ref="P11" authorId="16" shapeId="0" xr:uid="{AA1499B5-5830-4E92-B28A-0EF56A52285B}">
      <text>
        <t>[Threaded comment]
Your version of Excel allows you to read this threaded comment; however, any edits to it will get removed if the file is opened in a newer version of Excel. Learn more: https://go.microsoft.com/fwlink/?linkid=870924
Comment:
    Detailed model specifications (number of layers, dimensionalities) are not disclosed.</t>
      </text>
    </comment>
    <comment ref="Q11" authorId="17" shapeId="0" xr:uid="{CBA74822-276B-4345-B6B3-C0D64F61D1DF}">
      <text>
        <t>[Threaded comment]
Your version of Excel allows you to read this threaded comment; however, any edits to it will get removed if the file is opened in a newer version of Excel. Learn more: https://go.microsoft.com/fwlink/?linkid=870924
Comment:
    Training details are not disclosed (optimizer, learning rate, batch size, number of epochs, etc).</t>
      </text>
    </comment>
    <comment ref="R11" authorId="18" shapeId="0" xr:uid="{254CD2DD-931F-45DC-8ED9-87977B029CD0}">
      <text>
        <t>[Threaded comment]
Your version of Excel allows you to read this threaded comment; however, any edits to it will get removed if the file is opened in a newer version of Excel. Learn more: https://go.microsoft.com/fwlink/?linkid=870924
Comment:
    Final model selection procedure is not disclosed.</t>
      </text>
    </comment>
    <comment ref="I12" authorId="19" shapeId="0" xr:uid="{5630F4FC-2CC8-4923-8364-B6F48EB45CBC}">
      <text>
        <t xml:space="preserve">[Threaded comment]
Your version of Excel allows you to read this threaded comment; however, any edits to it will get removed if the file is opened in a newer version of Excel. Learn more: https://go.microsoft.com/fwlink/?linkid=870924
Comment:
    Uses 1D-CNN inspired by L. Lin, X. Chen, Y. Shen, and L. Zhang, “Towards automatic depression detection: A bilstm/1d cnn-based model,” Applied Sciences, vol. 10, no. 23, p. 8701, 2020. </t>
      </text>
    </comment>
    <comment ref="O12" authorId="20" shapeId="0" xr:uid="{FA3F49E3-4DA1-47F9-AB5D-838D3A2CAE63}">
      <text>
        <t>[Threaded comment]
Your version of Excel allows you to read this threaded comment; however, any edits to it will get removed if the file is opened in a newer version of Excel. Learn more: https://go.microsoft.com/fwlink/?linkid=870924
Comment:
    Partitions disjoint level is not explicitly reported.</t>
      </text>
    </comment>
    <comment ref="P12" authorId="21" shapeId="0" xr:uid="{111562B1-5DFE-49F1-B874-6DBA9DF30004}">
      <text>
        <t>[Threaded comment]
Your version of Excel allows you to read this threaded comment; however, any edits to it will get removed if the file is opened in a newer version of Excel. Learn more: https://go.microsoft.com/fwlink/?linkid=870924
Comment:
    Architectural details for 1D-CNN are not disclosed (layer sizes, kernel sizes, etc).</t>
      </text>
    </comment>
    <comment ref="Q12" authorId="22" shapeId="0" xr:uid="{F1EABA69-DA2E-49FB-AFDA-0357EE5A061F}">
      <text>
        <t>[Threaded comment]
Your version of Excel allows you to read this threaded comment; however, any edits to it will get removed if the file is opened in a newer version of Excel. Learn more: https://go.microsoft.com/fwlink/?linkid=870924
Comment:
    Training hyperparameters are not disclosed.</t>
      </text>
    </comment>
    <comment ref="R12" authorId="23" shapeId="0" xr:uid="{8986CB0F-B8A4-498D-BC9D-ABBAD742861C}">
      <text>
        <t>[Threaded comment]
Your version of Excel allows you to read this threaded comment; however, any edits to it will get removed if the file is opened in a newer version of Excel. Learn more: https://go.microsoft.com/fwlink/?linkid=870924
Comment:
    Final model selection procedure is not disclosed.</t>
      </text>
    </comment>
    <comment ref="P13" authorId="24" shapeId="0" xr:uid="{368A7AAE-66F3-4A62-9141-BF8E98A15A03}">
      <text>
        <t>[Threaded comment]
Your version of Excel allows you to read this threaded comment; however, any edits to it will get removed if the file is opened in a newer version of Excel. Learn more: https://go.microsoft.com/fwlink/?linkid=870924
Comment:
    Prompts are not disclosed. Description of patient simulation from interview transcript is ambiguous.</t>
      </text>
    </comment>
    <comment ref="P20" authorId="25" shapeId="0" xr:uid="{43F8C289-2E91-4D60-9953-E28052238D87}">
      <text>
        <t>[Threaded comment]
Your version of Excel allows you to read this threaded comment; however, any edits to it will get removed if the file is opened in a newer version of Excel. Learn more: https://go.microsoft.com/fwlink/?linkid=870924
Comment:
    Detailed model specifications (number of layers, dimensionalities) are not disclosed.</t>
      </text>
    </comment>
    <comment ref="Q20" authorId="26" shapeId="0" xr:uid="{AC052D26-1F44-4410-A1CD-7D61BF3BAE9E}">
      <text>
        <t>[Threaded comment]
Your version of Excel allows you to read this threaded comment; however, any edits to it will get removed if the file is opened in a newer version of Excel. Learn more: https://go.microsoft.com/fwlink/?linkid=870924
Comment:
    Training details are not fully disclosed (number of epochs). „initial learning rate” is mentioned, however learning rate strategy (e.g. reduce on plateau) is not reported.</t>
      </text>
    </comment>
    <comment ref="R20" authorId="27" shapeId="0" xr:uid="{B5D1A18F-DD57-48B5-9822-F5DF685505C8}">
      <text>
        <t>[Threaded comment]
Your version of Excel allows you to read this threaded comment; however, any edits to it will get removed if the file is opened in a newer version of Excel. Learn more: https://go.microsoft.com/fwlink/?linkid=870924
Comment:
    Final model selection procedure is not disclosed (e.g. early stopping criterion).</t>
      </text>
    </comment>
    <comment ref="I22" authorId="28" shapeId="0" xr:uid="{573C4B64-AF38-4061-B2D8-34456229A2E2}">
      <text>
        <t>[Threaded comment]
Your version of Excel allows you to read this threaded comment; however, any edits to it will get removed if the file is opened in a newer version of Excel. Learn more: https://go.microsoft.com/fwlink/?linkid=870924
Comment:
    Prompting is not novel (e.g. „Advancing Mental Health Pre-Screening: A New Custom GPT for Psychological Distress Assessment”), as well as transformers finetuning on raw transcripts</t>
      </text>
    </comment>
    <comment ref="M26" authorId="29" shapeId="0" xr:uid="{174AACDC-C7EF-44EA-AD01-42660F41F07B}">
      <text>
        <t>[Threaded comment]
Your version of Excel allows you to read this threaded comment; however, any edits to it will get removed if the file is opened in a newer version of Excel. Learn more: https://go.microsoft.com/fwlink/?linkid=870924
Comment:
    It is unclear how DAIC-WOZ transcripts were aligned with 30s audio clips in the paper. Paper does not disclose whether interviewer utterances were removed during the preprocessing.</t>
      </text>
    </comment>
    <comment ref="R26" authorId="30" shapeId="0" xr:uid="{872E8225-9564-4265-B071-22DA41D5A2EE}">
      <text>
        <t>[Threaded comment]
Your version of Excel allows you to read this threaded comment; however, any edits to it will get removed if the file is opened in a newer version of Excel. Learn more: https://go.microsoft.com/fwlink/?linkid=870924
Comment:
    Authors report single value for MAE and RMSE on the test split, which raises question how the best model was selected from 5-fold cross-validation.</t>
      </text>
    </comment>
    <comment ref="Q43" authorId="31" shapeId="0" xr:uid="{624FBEE8-632F-436D-A5CB-5F14B0314075}">
      <text>
        <t>[Threaded comment]
Your version of Excel allows you to read this threaded comment; however, any edits to it will get removed if the file is opened in a newer version of Excel. Learn more: https://go.microsoft.com/fwlink/?linkid=870924
Comment:
    Training details are not fully disclosed (number of epochs, monitored metric used for learning rate reduction).</t>
      </text>
    </comment>
    <comment ref="R43" authorId="32" shapeId="0" xr:uid="{97208876-CDBE-4B96-9F1D-0626AAB08014}">
      <text>
        <t>[Threaded comment]
Your version of Excel allows you to read this threaded comment; however, any edits to it will get removed if the file is opened in a newer version of Excel. Learn more: https://go.microsoft.com/fwlink/?linkid=870924
Comment:
    Final model selection procedure (early stopping, target metric, etc.) is not disclosed.</t>
      </text>
    </comment>
    <comment ref="M56" authorId="33" shapeId="0" xr:uid="{C8293E43-FCED-40D6-B9BB-A60CAAF7FE0F}">
      <text>
        <t>[Threaded comment]
Your version of Excel allows you to read this threaded comment; however, any edits to it will get removed if the file is opened in a newer version of Excel. Learn more: https://go.microsoft.com/fwlink/?linkid=870924
Comment:
    From the preprocessing procedure description it is unclear how textual transcripts of participant utterances were aligned with audio and video modalities, which were split into 6-second clips. It is also unclear, whether interviewer utterances were removed from audio modality.</t>
      </text>
    </comment>
    <comment ref="P56" authorId="34" shapeId="0" xr:uid="{AE92E9F8-6B12-4215-A6AF-DA40B5A77674}">
      <text>
        <t>[Threaded comment]
Your version of Excel allows you to read this threaded comment; however, any edits to it will get removed if the file is opened in a newer version of Excel. Learn more: https://go.microsoft.com/fwlink/?linkid=870924
Comment:
    From the description it is unclear whether BERT was used as a frozen feature extractor for text modality or its weights were trainable.</t>
      </text>
    </comment>
    <comment ref="R56" authorId="35" shapeId="0" xr:uid="{99A0671D-42C6-4B66-9115-8665D2AFD6C5}">
      <text>
        <t>[Threaded comment]
Your version of Excel allows you to read this threaded comment; however, any edits to it will get removed if the file is opened in a newer version of Excel. Learn more: https://go.microsoft.com/fwlink/?linkid=870924
Comment:
    Gridsearch for hyperparameters tuning is mentioned, hovewer target metric used for best hyperparameter combination selection is not disclosed.</t>
      </text>
    </comment>
    <comment ref="U56" authorId="36" shapeId="0" xr:uid="{78C498E1-2855-4FFA-B2E5-6CA69369AD88}">
      <text>
        <t>[Threaded comment]
Your version of Excel allows you to read this threaded comment; however, any edits to it will get removed if the file is opened in a newer version of Excel. Learn more: https://go.microsoft.com/fwlink/?linkid=870924
Comment:
    Reported results regard unknown partition.</t>
      </text>
    </comment>
    <comment ref="E71" authorId="37" shapeId="0" xr:uid="{9B68B1A4-6F77-4C20-83B9-932BBA13DBFA}">
      <text>
        <t>[Threaded comment]
Your version of Excel allows you to read this threaded comment; however, any edits to it will get removed if the file is opened in a newer version of Excel. Learn more: https://go.microsoft.com/fwlink/?linkid=870924
Comment:
    Number of papers that were filtered out at this stage</t>
      </text>
    </comment>
    <comment ref="G71" authorId="38" shapeId="0" xr:uid="{9EE4B5EC-C74D-4ACE-A823-A5A9548E0488}">
      <text>
        <t xml:space="preserve">[Threaded comment]
Your version of Excel allows you to read this threaded comment; however, any edits to it will get removed if the file is opened in a newer version of Excel. Learn more: https://go.microsoft.com/fwlink/?linkid=870924
Comment:
    Does not regard DAIC-WOZ dataset </t>
      </text>
    </comment>
    <comment ref="H71" authorId="39" shapeId="0" xr:uid="{2A88D3A4-3D01-4A31-9D88-4DB18487C5CC}">
      <text>
        <t>[Threaded comment]
Your version of Excel allows you to read this threaded comment; however, any edits to it will get removed if the file is opened in a newer version of Excel. Learn more: https://go.microsoft.com/fwlink/?linkid=870924
Comment:
    Does not use Mean Absolute Error 
(MAE) to assess estimation quality</t>
      </text>
    </comment>
    <comment ref="I71" authorId="40" shapeId="0" xr:uid="{DA3EDAE9-AD1D-4518-A404-A0062D753D4F}">
      <text>
        <t>[Threaded comment]
Your version of Excel allows you to read this threaded comment; however, any edits to it will get removed if the file is opened in a newer version of Excel. Learn more: https://go.microsoft.com/fwlink/?linkid=870924
Comment:
    Does not introduce a new model 
or repurpose an existing model</t>
      </text>
    </comment>
    <comment ref="J71" authorId="41" shapeId="0" xr:uid="{4A25A468-1073-4BD0-9363-2EA8C91917EF}">
      <text>
        <t>[Threaded comment]
Your version of Excel allows you to read this threaded comment; however, any edits to it will get removed if the file is opened in a newer version of Excel. Learn more: https://go.microsoft.com/fwlink/?linkid=870924
Comment:
    Not in English</t>
      </text>
    </comment>
    <comment ref="K71" authorId="42" shapeId="0" xr:uid="{AEABD4DE-B112-4A6A-9CEE-C655D1C68564}">
      <text>
        <t>[Threaded comment]
Your version of Excel allows you to read this threaded comment; however, any edits to it will get removed if the file is opened in a newer version of Excel. Learn more: https://go.microsoft.com/fwlink/?linkid=870924
Comment:
    Records not retrieved during full text screening phase</t>
      </text>
    </comment>
    <comment ref="N71" authorId="43" shapeId="0" xr:uid="{F8491903-E287-4F11-BBFA-AC518C5B5DF8}">
      <text>
        <t>[Threaded comment]
Your version of Excel allows you to read this threaded comment; however, any edits to it will get removed if the file is opened in a newer version of Excel. Learn more: https://go.microsoft.com/fwlink/?linkid=870924
Comment:
    Does not use Mean Absolute Error 
(MAE) to assess estimation quality</t>
      </text>
    </comment>
    <comment ref="A72" authorId="44" shapeId="0" xr:uid="{B371964B-2AAC-4AC9-A5AE-70545583CE99}">
      <text>
        <t>[Threaded comment]
Your version of Excel allows you to read this threaded comment; however, any edits to it will get removed if the file is opened in a newer version of Excel. Learn more: https://go.microsoft.com/fwlink/?linkid=870924
Comment:
    All of these are different names of the same dataset
Reply:
    Other names refer to different datasets which we exclude in this review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tc={9517F61E-8098-4492-A4F1-E67F7A5866D4}</author>
    <author>tc={EF9FE58F-6167-4A1B-B82A-6CBDF41268F5}</author>
    <author>tc={B42F6DAD-BFC4-408B-92EB-2EE8848EB4FF}</author>
    <author>tc={CAB99698-75FB-43D1-A3EB-8805AE913F7F}</author>
  </authors>
  <commentList>
    <comment ref="C3" authorId="0" shapeId="0" xr:uid="{9517F61E-8098-4492-A4F1-E67F7A5866D4}">
      <text>
        <t xml:space="preserve">[Threaded comment]
Your version of Excel allows you to read this threaded comment; however, any edits to it will get removed if the file is opened in a newer version of Excel. Learn more: https://go.microsoft.com/fwlink/?linkid=870924
Comment:
    Papers for title and abstract screening </t>
      </text>
    </comment>
    <comment ref="C4" authorId="1" shapeId="0" xr:uid="{EF9FE58F-6167-4A1B-B82A-6CBDF41268F5}">
      <text>
        <t>[Threaded comment]
Your version of Excel allows you to read this threaded comment; however, any edits to it will get removed if the file is opened in a newer version of Excel. Learn more: https://go.microsoft.com/fwlink/?linkid=870924
Comment:
    Papers for full-text screening</t>
      </text>
    </comment>
    <comment ref="C5" authorId="2" shapeId="0" xr:uid="{B42F6DAD-BFC4-408B-92EB-2EE8848EB4FF}">
      <text>
        <t>[Threaded comment]
Your version of Excel allows you to read this threaded comment; however, any edits to it will get removed if the file is opened in a newer version of Excel. Learn more: https://go.microsoft.com/fwlink/?linkid=870924
Comment:
    Irrelevant title and/or abstract</t>
      </text>
    </comment>
    <comment ref="D7" authorId="3" shapeId="0" xr:uid="{CAB99698-75FB-43D1-A3EB-8805AE913F7F}">
      <text>
        <t>[Threaded comment]
Your version of Excel allows you to read this threaded comment; however, any edits to it will get removed if the file is opened in a newer version of Excel. Learn more: https://go.microsoft.com/fwlink/?linkid=870924
Comment:
    Records not retrieved</t>
      </text>
    </comment>
  </commentList>
</comments>
</file>

<file path=xl/sharedStrings.xml><?xml version="1.0" encoding="utf-8"?>
<sst xmlns="http://schemas.openxmlformats.org/spreadsheetml/2006/main" count="454" uniqueCount="239">
  <si>
    <t>ScienceDirect</t>
  </si>
  <si>
    <t>ACM</t>
  </si>
  <si>
    <t>Scholar</t>
  </si>
  <si>
    <t>https://arxiv.org/abs/2502.18791</t>
  </si>
  <si>
    <t>Title</t>
  </si>
  <si>
    <t>Link</t>
  </si>
  <si>
    <t>Source</t>
  </si>
  <si>
    <t>Abstract</t>
  </si>
  <si>
    <t>Irrelevant title/abstract</t>
  </si>
  <si>
    <t>Does not regard DAIC-WOZ</t>
  </si>
  <si>
    <t>Discarded</t>
  </si>
  <si>
    <t>Accepted</t>
  </si>
  <si>
    <t>Remaining</t>
  </si>
  <si>
    <t>Article and abstract</t>
  </si>
  <si>
    <t>Screening</t>
  </si>
  <si>
    <t>Pool</t>
  </si>
  <si>
    <t>Full-text</t>
  </si>
  <si>
    <t>Not in English</t>
  </si>
  <si>
    <t>Does not use MAE</t>
  </si>
  <si>
    <t>Does not introduce new model</t>
  </si>
  <si>
    <t>E-DAIC</t>
  </si>
  <si>
    <t>avec 2017 depression-sub-challenge</t>
  </si>
  <si>
    <t>avec 2016</t>
  </si>
  <si>
    <t>daic-woz</t>
  </si>
  <si>
    <t>Total</t>
  </si>
  <si>
    <t>Dataset (if not DAIC-WOZ)</t>
  </si>
  <si>
    <t>Discarded after full-text review</t>
  </si>
  <si>
    <t>Not retrieved</t>
  </si>
  <si>
    <t>Data preprocessing</t>
  </si>
  <si>
    <t>Data partitioning</t>
  </si>
  <si>
    <t>Partitions disjoint level</t>
  </si>
  <si>
    <t>Model description</t>
  </si>
  <si>
    <t>Training details</t>
  </si>
  <si>
    <t>Final model selection</t>
  </si>
  <si>
    <t>-</t>
  </si>
  <si>
    <t>Data modality</t>
  </si>
  <si>
    <t>Code available</t>
  </si>
  <si>
    <t>Dev. MAE</t>
  </si>
  <si>
    <t>Dev. RMSE</t>
  </si>
  <si>
    <t>Dev. R2</t>
  </si>
  <si>
    <t>Test. MAE</t>
  </si>
  <si>
    <t>Test. R2</t>
  </si>
  <si>
    <t>--</t>
  </si>
  <si>
    <t>Comment</t>
  </si>
  <si>
    <t>Test. RMSE</t>
  </si>
  <si>
    <t>Repeated experiments</t>
  </si>
  <si>
    <t>N/A</t>
  </si>
  <si>
    <t>Included</t>
  </si>
  <si>
    <t>Quality screening</t>
  </si>
  <si>
    <t>Participant inter-partition leakage</t>
  </si>
  <si>
    <t>Uses interviewer's prompts</t>
  </si>
  <si>
    <t>date</t>
  </si>
  <si>
    <t>avg volume required</t>
  </si>
  <si>
    <t>Default DAIC-WOZ split is:</t>
  </si>
  <si>
    <t>107 (57%) interviews are in the training set, 35 (19%) are in the validation set, and 47 (25%) are in the test set</t>
  </si>
  <si>
    <t>Machine Learning-Based Prediction of Depressive Disorders via Various Data Modalities: A Survey</t>
  </si>
  <si>
    <t>https://ieeexplore.ieee.org/abstract/document/11062735/</t>
  </si>
  <si>
    <t>Explainable Depression Detection using Masked Hard Instance Mining</t>
  </si>
  <si>
    <t>https://arxiv.org/abs/2505.24609</t>
  </si>
  <si>
    <t>Depression detection methods based on multimodal fusion of voice and text</t>
  </si>
  <si>
    <t>https://www.nature.com/articles/s41598-025-03524-4</t>
  </si>
  <si>
    <t>Advancing Depression Detection: Insights from Standard Datasets and Multimodal Approaches</t>
  </si>
  <si>
    <t>https://www.taylorfrancis.com/chapters/edit/10.1201/9781032724508-4/advancing-depression-detection-rameshwari-vadhvani-madhushi-verma</t>
  </si>
  <si>
    <t>MLlm-DR: Towards Explainable Depression Recognition with MultiModal Large Language Models</t>
  </si>
  <si>
    <t>https://arxiv.org/abs/2507.05591</t>
  </si>
  <si>
    <t>Large Language Models for Depression Recognition in Spoken Language Integrating Psychological Knowledge</t>
  </si>
  <si>
    <t>https://arxiv.org/abs/2505.22863</t>
  </si>
  <si>
    <t>RBA-FE: A Robust Brain-Inspired Audio Feature Extractor for Depression Diagnosis</t>
  </si>
  <si>
    <t>https://arxiv.org/abs/2506.07118</t>
  </si>
  <si>
    <t>Se-GCaTCT: correlation based optimized self-guided cross-attention temporal convolutional transformer for depression detection with effective optimization strategy</t>
  </si>
  <si>
    <t>https://www.sciencedirect.com/science/article/pii/S1746809425010729</t>
  </si>
  <si>
    <t>Deep Learning in Depression Detection: A Comprehensive Survey and Critical Analysis</t>
  </si>
  <si>
    <t>https://ieeexplore.ieee.org/abstract/document/11108151/</t>
  </si>
  <si>
    <t>LEFORMER: Liquid Enhanced Multimodal Learning for Depression Severity Estimation</t>
  </si>
  <si>
    <t>https://ieeexplore.ieee.org/abstract/document/11058864/</t>
  </si>
  <si>
    <t>Fair Uncertainty Quantification for Depression Prediction</t>
  </si>
  <si>
    <t>https://arxiv.org/abs/2505.04931</t>
  </si>
  <si>
    <t>AgentMental: An Interactive Multi-Agent Framework for Explainable and Adaptive Mental Health Assessment</t>
  </si>
  <si>
    <t>https://arxiv.org/abs/2508.11567</t>
  </si>
  <si>
    <t>AI Models for Depressive Disorder Detection and Diagnosis: A Review</t>
  </si>
  <si>
    <t>https://arxiv.org/abs/2508.12022</t>
  </si>
  <si>
    <t>Deep Learning-Driven Behavioral Modeling in IoST for Mental Health Monitoring and Intervention</t>
  </si>
  <si>
    <t>https://ieeexplore.ieee.org/abstract/document/10943187/</t>
  </si>
  <si>
    <t>Test-Time Training for Speech-based Depression Detection</t>
  </si>
  <si>
    <t>https://www.isca-archive.org/interspeech_2025/dumpala25_interspeech.pdf</t>
  </si>
  <si>
    <t>Depression Detection Using Machine Learning Algorithms for Smart Healthcare System</t>
  </si>
  <si>
    <t>https://www.taylorfrancis.com/chapters/edit/10.1201/9781003510932-9/depression-detection-using-machine-learning-algorithms-smart-healthcare-system-sanjay-singh-manoj-kumar-urmila-pilania</t>
  </si>
  <si>
    <t>Hyb-PcnDTr: a Hybrid Parallel CNN-Assisted Dense Transformer for Automatic Speech-Based Depression Detection</t>
  </si>
  <si>
    <t>https://ieeexplore.ieee.org/abstract/document/11086097/</t>
  </si>
  <si>
    <t>Robust time domain scalogram filter bank feature learning model for speech depression detection with metaheuristic spatio temporal residual BIGRU model</t>
  </si>
  <si>
    <t>https://www.inderscienceonline.com/doi/abs/10.1504/IJBET.2025.145219</t>
  </si>
  <si>
    <t>TTFNet: Temporal-Frequency Features Fusion Network for Speech based Automatic Depression Recognition and Assessment</t>
  </si>
  <si>
    <t>https://ieeexplore.ieee.org/abstract/document/11017633/</t>
  </si>
  <si>
    <t>Text and Valence-Arousal: A Two-Dimensional Foundational Approach for Mental Health Prediction</t>
  </si>
  <si>
    <t>https://mikokoko123.github.io/portfolio/CS_277_Final.pdf</t>
  </si>
  <si>
    <t>Evaluating Large Language Models for Depression Symptom Estimation</t>
  </si>
  <si>
    <t>https://link.springer.com/chapter/10.1007/978-3-031-95841-0_51</t>
  </si>
  <si>
    <t>Advancing mental health diagnostics: A hybrid ensemble approach using machine learning and deep learning</t>
  </si>
  <si>
    <t>https://pubs.aip.org/aip/acp/article-abstract/3327/1/020030/3357147</t>
  </si>
  <si>
    <t>Depression Detection and Diagnosis: Using an AI Perspective</t>
  </si>
  <si>
    <t>https://www.ijsat.org/research-paper.php?id=7651</t>
  </si>
  <si>
    <t>Evaluating the Role of Data Modalities in Machine Learning Models for Psychiatric Disorder Diagnosis: A Review</t>
  </si>
  <si>
    <t>http://medinftech.org/index.php/medinftech/article/view/106</t>
  </si>
  <si>
    <t>Multimodal Interpretable Depression Analysis Using Visual, Physiological, Audio and Textual Data</t>
  </si>
  <si>
    <t>https://ieeexplore.ieee.org/abstract/document/10943944/</t>
  </si>
  <si>
    <t>A Multimodal Artificial Intelligence Model for Depression Severity Detection Based on Audio and Video Signals</t>
  </si>
  <si>
    <t>https://search.proquest.com/openview/802728638607f85b2dbcb1bb9f57b394/1?pq-origsite=gscholar&amp;cbl=2032404</t>
  </si>
  <si>
    <t>Disentanglement of Prosody Representations via Diffusion Models and Scheduled Gradient Reversal</t>
  </si>
  <si>
    <t>https://ieeexplore.ieee.org/abstract/document/10901998/</t>
  </si>
  <si>
    <t>Leveraging Embedding Techniques in Multimodal Machine Learning for Mental Illness Assessment</t>
  </si>
  <si>
    <t>https://arxiv.org/abs/2504.01767</t>
  </si>
  <si>
    <t>Multimodal depression detection: leveraging textual and image-based social media data</t>
  </si>
  <si>
    <t>https://dspace.bracu.ac.bd/xmlui/handle/10361/26561</t>
  </si>
  <si>
    <t>Correlation analysis between facial feature-based traditional Chinese medicine inspection of spirit classification and Beck Depression Inventory score</t>
  </si>
  <si>
    <t>https://www.sciencedirect.com/science/article/pii/S2589377725000758</t>
  </si>
  <si>
    <t>AI-assisted multi-modal information for the screening of depression: a systematic review and meta-analysis</t>
  </si>
  <si>
    <t>https://www.nature.com/articles/s41746-025-01933-3</t>
  </si>
  <si>
    <t>A Chinese multimodal depression dataset with personality labeling for older adults with underlying medical conditions</t>
  </si>
  <si>
    <t>https://ieeexplore.ieee.org/abstract/document/10933581/</t>
  </si>
  <si>
    <t>Diagnosis of depression based on facial multimodal data</t>
  </si>
  <si>
    <t>https://www.frontiersin.org/journals/psychiatry/articles/10.3389/fpsyt.2025.1508772/full</t>
  </si>
  <si>
    <t>Enhancing Depression Detection via Question-wise Modality Fusion</t>
  </si>
  <si>
    <t>https://arxiv.org/abs/2503.20496</t>
  </si>
  <si>
    <t>Affect and Personality Aided Modeling of Transcribed Speech for Depression Severity Estimation</t>
  </si>
  <si>
    <t>https://ieeexplore.ieee.org/abstract/document/10964242/</t>
  </si>
  <si>
    <t>Optimized Framework for Mental Health Detection Using Deep Learning Technique</t>
  </si>
  <si>
    <t>https://ieeexplore.ieee.org/abstract/document/11101534/</t>
  </si>
  <si>
    <t>Identifying Vocal and Facial Biomarkers of Depression in Large-Scale Remote Recordings: A Multimodal Study Using Mixed-Effects Modeling</t>
  </si>
  <si>
    <t>https://www.isca-archive.org/interspeech_2025/hidalgojulia25_interspeech.pdf</t>
  </si>
  <si>
    <t>A Multidimensional Soccer Player Transfer Pricing Model Incorporating Psychological Anxiety Level Assessment</t>
  </si>
  <si>
    <t>https://ieeexplore.ieee.org/abstract/document/10989124/</t>
  </si>
  <si>
    <t>Hierarchical multi-task learning based on interactive multi-head attention feature fusion for speech depression recognition</t>
  </si>
  <si>
    <t>https://ieeexplore.ieee.org/abstract/document/10926518/</t>
  </si>
  <si>
    <t>Understanding Artificial Intelligence and Machine Learning: Foundational Concepts for Counselor Education</t>
  </si>
  <si>
    <t>https://research.library.kutztown.edu/jcps/vol19/iss3/3/</t>
  </si>
  <si>
    <t>STSFF-Net: A Two-Stream Network for Depression detection from Facial Expressions</t>
  </si>
  <si>
    <t>https://www.sciencedirect.com/science/article/pii/S0925231225017989</t>
  </si>
  <si>
    <t>Simma: Multimodal automatic depression detection via spatiotemporal ensemble and cross-modal alignment</t>
  </si>
  <si>
    <t>https://ieeexplore.ieee.org/abstract/document/10932863/</t>
  </si>
  <si>
    <t>Survey of Deep Learning and Machine Learning Approaches for Major Depressive Disorder Detection Using EEG Data</t>
  </si>
  <si>
    <t>https://onlinelibrary.wiley.com/doi/abs/10.1155/jece/6277690</t>
  </si>
  <si>
    <t>A Survey of Current Progress in Depression Detection Using Deep Learning and Machine Learning</t>
  </si>
  <si>
    <t>https://link.springer.com/article/10.1007/s44174-025-00301-9</t>
  </si>
  <si>
    <t>IoT-Enabled Deep Learning Framework for Smart Infant Health Monitoring</t>
  </si>
  <si>
    <t>https://ieeexplore.ieee.org/abstract/document/10984933/</t>
  </si>
  <si>
    <t>Telepsychiatry and Artificial Intelligence: A Structured Review of Emerging Approaches to Accessible Psychiatric Care</t>
  </si>
  <si>
    <t>https://www.mdpi.com/2227-9032/13/11/1348</t>
  </si>
  <si>
    <t>Automatic depression recognition with an ensemble of multimodal spatio-temporal routing features</t>
  </si>
  <si>
    <t>https://ieeexplore.ieee.org/abstract/document/10891723/</t>
  </si>
  <si>
    <t>Depression Detection in Indonesian X Social Media Text using Convolutional Neural Networks and Long Short-Term Memory with TF-IDF and FastText Methods</t>
  </si>
  <si>
    <t>https://jutif.if.unsoed.ac.id/index.php/jurnal/article/view/4206</t>
  </si>
  <si>
    <t>Automatizált hangelemzés és depresszió: Szisztematikus umbrella review.</t>
  </si>
  <si>
    <t>https://search.ebscohost.com/login.aspx?direct=true&amp;profile=ehost&amp;scope=site&amp;authtype=crawler&amp;jrnl=00191442&amp;AN=184115670&amp;h=U9fHN0IZPhV%2FopZ1BQbHtwMwJywVDnkd18VxA0cFQdtEcmL0skwGXWoB9P9fGuJ%2FZnBoKanli16EQrrn%2FToPHA%3D%3D&amp;crl=c</t>
  </si>
  <si>
    <t>Can LLMs Help Uncover Insights about LLMs? A Large-Scale, Evolving Literature Analysis of Frontier LLMs</t>
  </si>
  <si>
    <t>Two-Stage Temporal Modelling Framework for Video-Based Depression Recognition Using Graph Representation</t>
  </si>
  <si>
    <t>https://ieeexplore.ieee.org/document/10572478/</t>
  </si>
  <si>
    <t>IEEE</t>
  </si>
  <si>
    <t>ADED: Method and Device for Automatically Detecting Early Depression Using Multimodal Physiological Signals Evoked and Perceived via Various Emotional Scenes in Virtual Reality</t>
  </si>
  <si>
    <t>https://ieeexplore.ieee.org/document/10949045/</t>
  </si>
  <si>
    <t>A Multi-Scale Feature Refinement and Dual-Attention Enhanced Dynamic Convolutional Network for Speech-Based Depression and ADHD Assessment</t>
  </si>
  <si>
    <t>https://ieeexplore.ieee.org/document/11146612/</t>
  </si>
  <si>
    <t>Multimodal Depression Assessment Framework Integrating Personality and Gait for Older Adults with Medical Conditions</t>
  </si>
  <si>
    <t>https://ieeexplore.ieee.org/document/10933581/</t>
  </si>
  <si>
    <t>Multi-level spatiotemporal graph attention fusion for multimodal depression detection</t>
  </si>
  <si>
    <t>https://www.sciencedirect.com/science/article/pii/S1746809425006342</t>
  </si>
  <si>
    <t>Automated depression recognition from acoustic and text transcript data using 2-Dimensional convolutional neural network and bidirectional gated recurrent unit</t>
  </si>
  <si>
    <t>https://link.springer.com/article/10.1007/s11042-025-21088-3</t>
  </si>
  <si>
    <t>Springer</t>
  </si>
  <si>
    <t>Face-based machine learning diagnostics: applications, challenges and opportunities</t>
  </si>
  <si>
    <t>https://link.springer.com/article/10.1007/s10462-025-11246-2</t>
  </si>
  <si>
    <t>Automated Depression Detection Using CNN and Transformer-Based Pre-trained Language Models</t>
  </si>
  <si>
    <t>https://link.springer.com/chapter/10.1007/978-3-031-73617-9_4</t>
  </si>
  <si>
    <t>Big Data Analytics in IoT, social media, NLP, and information security: trends, challenges, and applications</t>
  </si>
  <si>
    <t>https://link.springer.com/article/10.1186/s40537-025-01192-9</t>
  </si>
  <si>
    <t>WWW '25: Companion Proceedings of the ACM on Web Conference 2025</t>
  </si>
  <si>
    <t>https://dl.acm.org/doi/proceedings/10.1145/3701716</t>
  </si>
  <si>
    <t>CUI '25: Proceedings of the 7th ACM Conference on Conversational User Interfaces</t>
  </si>
  <si>
    <t>https://dl.acm.org/doi/proceedings/10.1145/3719160</t>
  </si>
  <si>
    <t>SIGIR '25: Proceedings of the 48th International ACM SIGIR Conference on Research and Development in Information Retrieval</t>
  </si>
  <si>
    <t>https://dl.acm.org/doi/proceedings/10.1145/3726302</t>
  </si>
  <si>
    <t>NLPIR '24: Proceedings of the 2024 8th International Conference on Natural Language Processing and Information Retrieval</t>
  </si>
  <si>
    <t>https://dl.acm.org/doi/proceedings/10.1145/3711542</t>
  </si>
  <si>
    <t>IUI '25: Proceedings of the 30th International Conference on Intelligent User Interfaces</t>
  </si>
  <si>
    <t>https://dl.acm.org/doi/proceedings/10.1145/3708359</t>
  </si>
  <si>
    <t>C&amp;C '25: Proceedings of the 2025 Conference on Creativity and Cognition</t>
  </si>
  <si>
    <t>https://dl.acm.org/doi/proceedings/10.1145/3698061</t>
  </si>
  <si>
    <t>DIS '25: Proceedings of the 2025 ACM Designing Interactive Systems Conference</t>
  </si>
  <si>
    <t>https://dl.acm.org/doi/proceedings/10.1145/3715336</t>
  </si>
  <si>
    <t>KDD '25: Proceedings of the 31st ACM SIGKDD Conference on Knowledge Discovery and Data Mining V.2</t>
  </si>
  <si>
    <t>https://dl.acm.org/doi/proceedings/10.1145/3711896</t>
  </si>
  <si>
    <t>ICAAI '24: Proceedings of the 2024 8th International Conference on Advances in Artificial Intelligence</t>
  </si>
  <si>
    <t>https://dl.acm.org/doi/proceedings/10.1145/3704137</t>
  </si>
  <si>
    <t>ICAIE '24: Proceedings of the 2024 3rd International Conference on Artificial Intelligence and Education</t>
  </si>
  <si>
    <t>https://dl.acm.org/doi/proceedings/10.1145/3722237</t>
  </si>
  <si>
    <t>Custom timeseries</t>
  </si>
  <si>
    <t>Custom (CSUH-DR-Video)</t>
  </si>
  <si>
    <t>AVEC 2013, AVEC 2014, custom CMDep</t>
  </si>
  <si>
    <t>AVEC 2013, AVEC 2014 and E-DAIC</t>
  </si>
  <si>
    <t>AVEC2013, AVEC2014, E-DAIC, and</t>
  </si>
  <si>
    <t>Custom</t>
  </si>
  <si>
    <t>No</t>
  </si>
  <si>
    <t>Yes</t>
  </si>
  <si>
    <t>T</t>
  </si>
  <si>
    <t>Interview</t>
  </si>
  <si>
    <t>No preprocessing</t>
  </si>
  <si>
    <t>80% for training, 20% for evaluation</t>
  </si>
  <si>
    <t>+</t>
  </si>
  <si>
    <t>Bi-LSTM and attention details are not provided. Hyperparameters were tuned on evaluation set, however exact target metric used for best model selection is not reported. Results on DAIC-WOZ are presented only in a form of chart „when the top-k features are dropped using different dropping criterion”. No specific numeric value provided.</t>
  </si>
  <si>
    <t>Interviewer utterances removal. Merging of the five consecutive utterances.</t>
  </si>
  <si>
    <t>5 consecutive participant's utterances</t>
  </si>
  <si>
    <t>Training, validation, and test sets, containing 107, 35, and 47 samples respectively</t>
  </si>
  <si>
    <t>A</t>
  </si>
  <si>
    <t>Training details are not disclosed (optimizer, learning rate, batch size, epochs, etc), only LoRA hyperparameters. Final model selection procedure is not disclosed. Three rows in Table 2 show identical numbers - potentially reporting error.</t>
  </si>
  <si>
    <t>Log-Mel spectrogram extraction</t>
  </si>
  <si>
    <t>Training and validation sets, containing 107 and 35 samples respectively</t>
  </si>
  <si>
    <t>Prompts are not disclosed. Description of patient simulation from interview transcript is ambiguous.</t>
  </si>
  <si>
    <t>6:2:2 train:val:test split</t>
  </si>
  <si>
    <t>A-T</t>
  </si>
  <si>
    <t>20 seconds of audio, 5 consecutive sentences</t>
  </si>
  <si>
    <t>Process description of aligning 20s audio clips with 5 consecutive sentences is vague. Training details are not disclosed (optimizer, learning rate, batch size, etc). Early stopping is mentioned, but the validation metric is not specified, nor the patience value. Number of cross-validation runs is not reported and 6:2:2 partitioning scheme as well as results reported withoud std suggest single run. Reported results regard unknown partition.</t>
  </si>
  <si>
    <t>Silence &amp; interviewer uterance removal. Z-score normalization for video features. 7x data augmentation (pitch shifting, noise injection)</t>
  </si>
  <si>
    <t>80:20 train:test random split</t>
  </si>
  <si>
    <t>V-A</t>
  </si>
  <si>
    <t>Optimizer used for training is not disclosed. Final model selection procedure is not disclosed. Fig. 14. shows clear overfitting to the test set due to the data leakage - test loss decreases no matter how long the model is trained.</t>
  </si>
  <si>
    <t>2,87 ± 0,22</t>
  </si>
  <si>
    <t>4,12 ± 0,31</t>
  </si>
  <si>
    <t>80:20 train:test (5-fold cross-validation)</t>
  </si>
  <si>
    <t>Audio normalization and data augmentation procedures are not disclosed. Partitions disjoint level is not disclosed. Detailed model specifications (number of layers, dimensionalities) are not disclosed. Training details are not disclosed (optimizer, learning rate, batch size, number of epochs, etc). Final model selection procedure is not disclosed.</t>
  </si>
  <si>
    <t>30-second clips</t>
  </si>
  <si>
    <t>80:20 train:val split, 47 interviews in the test set</t>
  </si>
  <si>
    <t>It is unclear how DAIC-WOZ transcripts were aligned with 30s audio clips in the paper. Paper does not disclose whether interviewer utterances were removed during the preprocessing. Authors report single value for MAE and RMSE on the test split, which raises question how the best model was selected from 5-fold cross-validation.</t>
  </si>
  <si>
    <t xml:space="preserve">Log-Mel spectrogram extraction.  Z-score normalization on each modality separately </t>
  </si>
  <si>
    <t>Training details are not fully disclosed (number of epochs, monitored metric used for learning rate reduction). Final model selection procedure (early stopping, target metric, etc.) is not disclosed.</t>
  </si>
  <si>
    <t>16-second clips</t>
  </si>
  <si>
    <t>Amplitude normalization, silence removal, quaternion log-Mel spectrogram computation</t>
  </si>
  <si>
    <t>Detailed model specifications (number of layers, dimensionalities) are not disclosed. Training details are not fully disclosed (number of epochs). „initial learning rate” is mentioned, however learning rate strategy (e.g. reduce on plateau) is not reported. Final model selection procedure is not disclosed (e.g. early stopping criterion).</t>
  </si>
  <si>
    <t>V-A-T</t>
  </si>
  <si>
    <t>6-second clips</t>
  </si>
  <si>
    <t>From the preprocessing procedure description it is unclear how textual transcripts of participant utterances were aligned with audio and video modalities, which were split into 6-second clips. It is also unclear, whether interviewer utterances were removed from audio modality. From the description it is unclear whether BERT was used as a frozen feature extractor for text modality or its weights were trainable. Gridsearch for hyperparameters tuning is mentioned, hovewer target metric used for best hyperparameter combination selection is not disclosed. Reported results regard unknown partition.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</si>
</sst>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5]d\ mmm;@"/>
  </numFmts>
  <fonts count="7" x14ac:knownFonts="1">
    <font>
      <sz val="11"/>
      <color theme="1"/>
      <name val="Calibri"/>
      <family val="2"/>
      <scheme val="minor"/>
    </font>
    <font>
      <sz val="11"/>
      <color theme="1"/>
      <name val="Calibri"/>
      <family val="2"/>
      <charset val="238"/>
      <scheme val="minor"/>
    </font>
    <font>
      <u/>
      <sz val="11"/>
      <color theme="10"/>
      <name val="Calibri"/>
      <family val="2"/>
      <scheme val="minor"/>
    </font>
    <font>
      <b/>
      <sz val="11"/>
      <color theme="0"/>
      <name val="Calibri"/>
      <family val="2"/>
    </font>
    <font>
      <sz val="11"/>
      <color theme="0"/>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2" fillId="0" borderId="0" applyNumberFormat="0" applyFill="0" applyBorder="0" applyAlignment="0" applyProtection="0"/>
    <xf numFmtId="9" fontId="6" fillId="0" borderId="0" applyFont="0" applyFill="0" applyBorder="0" applyAlignment="0" applyProtection="0"/>
  </cellStyleXfs>
  <cellXfs count="18">
    <xf numFmtId="0" fontId="0" fillId="0" borderId="0" xfId="0"/>
    <xf numFmtId="0" fontId="0" fillId="0" borderId="0" xfId="0" applyAlignment="1">
      <alignment wrapText="1"/>
    </xf>
    <xf numFmtId="0" fontId="3" fillId="0" borderId="1" xfId="0" applyFont="1" applyBorder="1" applyAlignment="1">
      <alignment horizontal="center" vertical="top" wrapText="1"/>
    </xf>
    <xf numFmtId="0" fontId="3" fillId="0" borderId="1" xfId="0" applyFont="1" applyBorder="1" applyAlignment="1">
      <alignment horizontal="center" vertical="top"/>
    </xf>
    <xf numFmtId="0" fontId="4" fillId="0" borderId="0" xfId="0" applyFont="1"/>
    <xf numFmtId="0" fontId="3" fillId="0" borderId="2" xfId="0" applyFont="1" applyBorder="1" applyAlignment="1">
      <alignment horizontal="center" vertical="top" wrapText="1"/>
    </xf>
    <xf numFmtId="0" fontId="3" fillId="0" borderId="0" xfId="0" applyFont="1" applyAlignment="1">
      <alignment horizontal="center" vertical="top" wrapText="1"/>
    </xf>
    <xf numFmtId="0" fontId="2" fillId="0" borderId="0" xfId="0" applyFont="1"/>
    <xf numFmtId="0" fontId="3" fillId="0" borderId="0" xfId="0" quotePrefix="1" applyFont="1" applyAlignment="1">
      <alignment horizontal="center" vertical="top" wrapText="1"/>
    </xf>
    <xf numFmtId="0" fontId="3" fillId="0" borderId="0" xfId="0" applyFont="1" applyAlignment="1">
      <alignment horizontal="center" vertical="top"/>
    </xf>
    <xf numFmtId="164" fontId="0" fillId="0" borderId="0" xfId="0" applyNumberFormat="1"/>
    <xf numFmtId="9" fontId="0" fillId="0" borderId="0" xfId="2" applyFont="1"/>
    <xf numFmtId="0" fontId="0" fillId="0" borderId="0" xfId="0" applyAlignment="1">
      <alignment horizontal="right" wrapText="1"/>
    </xf>
    <xf numFmtId="0" fontId="1" fillId="0" borderId="0" xfId="0" applyFont="1"/>
    <xf numFmtId="0" fontId="0" fillId="0" borderId="1" xfId="0" applyBorder="1"/>
    <xf numFmtId="0" fontId="2" fillId="0" borderId="0" xfId="1"/>
    <xf numFmtId="2" fontId="0" fillId="0" borderId="0" xfId="0" applyNumberFormat="1" applyAlignment="1">
      <alignment wrapText="1"/>
    </xf>
    <xf numFmtId="0" fontId="0" fillId="0" borderId="1" xfId="0" applyBorder="1" applyAlignment="1">
      <alignment horizontal="right"/>
    </xf>
  </cellXfs>
  <cellStyles count="3">
    <cellStyle name="Hyperlink" xfId="1" builtinId="8"/>
    <cellStyle name="Normal" xfId="0" builtinId="0"/>
    <cellStyle name="Percent" xfId="2" builtinId="5"/>
  </cellStyles>
  <dxfs count="62">
    <dxf>
      <fill>
        <patternFill>
          <bgColor rgb="FF92D050"/>
        </patternFill>
      </fill>
    </dxf>
    <dxf>
      <alignment horizontal="general" vertical="bottom" textRotation="0" wrapText="1" indent="0" justifyLastLine="0" shrinkToFit="0" readingOrder="0"/>
    </dxf>
    <dxf>
      <alignment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ertAlign val="baseline"/>
        <sz val="11"/>
        <color theme="10"/>
        <name val="Calibri"/>
        <family val="2"/>
        <scheme val="minor"/>
      </font>
    </dxf>
    <dxf>
      <alignment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1"/>
        <color theme="0"/>
        <name val="Calibri"/>
        <family val="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Ivan Danylenko" id="{38AD1B54-1DAE-4F2A-AEAB-EA488571B049}" userId="S::Ivan.Danylenko@pl.ey.com::43daa83a-9712-401b-ab35-d6fcc110ce3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BFFEB7-729F-4641-A088-1E5DFC6B7298}" name="Table1" displayName="Table1" ref="A1:AG71" totalsRowCount="1" headerRowDxfId="61">
  <autoFilter ref="A1:AG70" xr:uid="{F7BFFEB7-729F-4641-A088-1E5DFC6B7298}">
    <filterColumn colId="4">
      <filters>
        <filter val="FALSE"/>
      </filters>
    </filterColumn>
    <filterColumn colId="11">
      <filters>
        <filter val="FALSE"/>
      </filters>
    </filterColumn>
  </autoFilter>
  <tableColumns count="33">
    <tableColumn id="1" xr3:uid="{B84F0D83-367A-4CFC-A091-849EC41B243F}" name="Title" totalsRowLabel="Total" dataDxfId="60" totalsRowDxfId="59"/>
    <tableColumn id="2" xr3:uid="{321C2EBC-184B-4C7D-86E7-EE7CE0D7D22D}" name="Link" dataDxfId="58" totalsRowDxfId="57" dataCellStyle="Hyperlink"/>
    <tableColumn id="3" xr3:uid="{89E76D8E-0AC6-4380-9B83-288D62A32EE3}" name="Source"/>
    <tableColumn id="4" xr3:uid="{C3953CF4-45F4-4516-B6AA-3E24D21CD2C9}" name="Abstract" dataDxfId="56"/>
    <tableColumn id="5" xr3:uid="{57C879E1-2AAF-45A6-B541-AD9C3CB63CF4}" name="Irrelevant title/abstract" totalsRowFunction="custom" dataDxfId="55" totalsRowDxfId="54">
      <totalsRowFormula>COUNTIF(Table1[Irrelevant title/abstract], TRUE)</totalsRowFormula>
    </tableColumn>
    <tableColumn id="11" xr3:uid="{92794D16-2343-430F-996F-A966D88746AF}" name="Dataset (if not DAIC-WOZ)" dataDxfId="53" totalsRowDxfId="52"/>
    <tableColumn id="7" xr3:uid="{18C4CBF1-DD43-4C68-8620-3FDC5A28E225}" name="Does not regard DAIC-WOZ" totalsRowFunction="custom" dataDxfId="51" totalsRowDxfId="50">
      <totalsRowFormula>COUNTIF(Table1[Does not regard DAIC-WOZ], TRUE)</totalsRowFormula>
    </tableColumn>
    <tableColumn id="10" xr3:uid="{D311C890-2649-4238-A796-114B9843BB03}" name="Does not use MAE" totalsRowFunction="custom" dataDxfId="49" totalsRowDxfId="48">
      <totalsRowFormula>COUNTIF(Table1[Does not use MAE], TRUE)</totalsRowFormula>
    </tableColumn>
    <tableColumn id="9" xr3:uid="{FE9A237E-0C0C-49BA-8B8C-9CE0D65FECC4}" name="Does not introduce new model" totalsRowFunction="custom" dataDxfId="47" totalsRowDxfId="46">
      <totalsRowFormula>COUNTIF(Table1[Does not introduce new model], TRUE)</totalsRowFormula>
    </tableColumn>
    <tableColumn id="6" xr3:uid="{39AB773F-57BF-42F6-8042-B99D0C0B874D}" name="Not in English" totalsRowFunction="custom" dataDxfId="45" totalsRowDxfId="44">
      <totalsRowFormula>COUNTIF(Table1[Not in English], TRUE)</totalsRowFormula>
    </tableColumn>
    <tableColumn id="8" xr3:uid="{08B22145-7E00-47C4-949C-6212BED733C9}" name="Not retrieved" totalsRowFunction="custom" dataDxfId="43" totalsRowDxfId="42">
      <totalsRowFormula>COUNTIF(Table1[Not retrieved], TRUE)</totalsRowFormula>
    </tableColumn>
    <tableColumn id="12" xr3:uid="{61F26038-FE26-4682-AE13-40D5DCC31965}" name="Discarded after full-text review" dataDxfId="41" totalsRowDxfId="40">
      <calculatedColumnFormula>IF(OR(Table1[[#This Row],[Does not regard DAIC-WOZ]]=TRUE,Table1[[#This Row],[Does not use MAE]]=TRUE,Table1[[#This Row],[Does not introduce new model]]=TRUE,Table1[[#This Row],[Not in English]]=TRUE,Table1[[#This Row],[Not retrieved]]=TRUE),TRUE,FALSE)</calculatedColumnFormula>
    </tableColumn>
    <tableColumn id="21" xr3:uid="{CD629356-F203-4CD1-8C7D-29A17D970C26}" name="Data preprocessing" dataDxfId="39"/>
    <tableColumn id="20" xr3:uid="{894681E3-7E9D-4747-A228-B0335307982D}" name="Data partitioning" totalsRowFunction="custom" dataDxfId="38" totalsRowDxfId="37">
      <totalsRowFormula>COUNTIF(Table1[Data partitioning], "-")</totalsRowFormula>
    </tableColumn>
    <tableColumn id="19" xr3:uid="{A332A605-56EF-4835-B8B4-2CA489A7AFB8}" name="Partitions disjoint level" totalsRowFunction="custom" dataDxfId="36" totalsRowDxfId="35">
      <totalsRowFormula>COUNTIF(Table1[Partitions disjoint level], "-")</totalsRowFormula>
    </tableColumn>
    <tableColumn id="18" xr3:uid="{4C08AE79-ADCF-4117-9235-953496B61CFE}" name="Model description" totalsRowFunction="custom" dataDxfId="34" totalsRowDxfId="33">
      <totalsRowFormula>COUNTIF(Table1[Model description], "-")</totalsRowFormula>
    </tableColumn>
    <tableColumn id="17" xr3:uid="{22D43059-EF48-46E7-861D-AA1D5830CC3E}" name="Training details" totalsRowFunction="custom" dataDxfId="32" totalsRowDxfId="31">
      <totalsRowFormula>COUNTIF(Table1[Training details], "-")</totalsRowFormula>
    </tableColumn>
    <tableColumn id="24" xr3:uid="{C010C063-17C6-4601-97B0-F473A7E0ED8A}" name="Final model selection" totalsRowFunction="custom" dataDxfId="30" totalsRowDxfId="29">
      <totalsRowFormula>COUNTIF(Table1[Final model selection], "-")</totalsRowFormula>
    </tableColumn>
    <tableColumn id="23" xr3:uid="{96D29E9D-B738-42A9-A484-CE824E12EA08}" name="-" totalsRowFunction="custom" dataDxfId="28" totalsRowDxfId="27">
      <totalsRowFormula>COUNTIF(Table1[-], "-")</totalsRowFormula>
    </tableColumn>
    <tableColumn id="22" xr3:uid="{425D64B1-F9DF-418E-9949-88C362E160FE}" name="Data modality" totalsRowFunction="custom" dataDxfId="26" totalsRowDxfId="25">
      <totalsRowFormula>COUNTIF(Table1[Data modality], "-")</totalsRowFormula>
    </tableColumn>
    <tableColumn id="27" xr3:uid="{421CDF98-9E39-4D4D-A87D-06967A41F943}" name="Dev. MAE" totalsRowFunction="custom" dataDxfId="24" totalsRowDxfId="23">
      <totalsRowFormula>COUNTIF(Table1[Dev. MAE], "-")</totalsRowFormula>
    </tableColumn>
    <tableColumn id="26" xr3:uid="{AD5504E0-79F1-476C-884B-9E2DD01B3D27}" name="Dev. RMSE" totalsRowFunction="custom" dataDxfId="22" totalsRowDxfId="21">
      <totalsRowFormula>COUNTIF(Table1[Dev. RMSE], "-")</totalsRowFormula>
    </tableColumn>
    <tableColumn id="25" xr3:uid="{E9091248-191F-4342-BC88-3D354CD35730}" name="Dev. R2" totalsRowFunction="custom" dataDxfId="20" totalsRowDxfId="19">
      <totalsRowFormula>COUNTIF(Table1[Dev. R2], "-")</totalsRowFormula>
    </tableColumn>
    <tableColumn id="32" xr3:uid="{C2E5B58C-2B3F-4560-A0FF-7E404413FF45}" name="Test. MAE" totalsRowFunction="custom" dataDxfId="18" totalsRowDxfId="17">
      <totalsRowFormula>COUNTIF(Table1[Test. MAE], "-")</totalsRowFormula>
    </tableColumn>
    <tableColumn id="31" xr3:uid="{66067C71-5FC8-4084-8B28-4D2DA9F9A592}" name="Test. RMSE" totalsRowFunction="custom" dataDxfId="16" totalsRowDxfId="15">
      <totalsRowFormula>COUNTIF(Table1[Test. RMSE], "-")</totalsRowFormula>
    </tableColumn>
    <tableColumn id="30" xr3:uid="{8763841C-FBD1-493C-BFDB-6619AB317FAD}" name="Test. R2" totalsRowFunction="custom" dataDxfId="14" totalsRowDxfId="13">
      <totalsRowFormula>COUNTIF(Table1[Test. R2], "-")</totalsRowFormula>
    </tableColumn>
    <tableColumn id="29" xr3:uid="{56C4D923-F9EA-428A-B3D5-15BE84E07E95}" name="Code available" totalsRowFunction="custom" dataDxfId="12" totalsRowDxfId="11">
      <totalsRowFormula>COUNTIF(Table1[Code available], "-")</totalsRowFormula>
    </tableColumn>
    <tableColumn id="33" xr3:uid="{5506C6B9-54B0-4FB5-99BC-099286F6DC05}" name="Repeated experiments" totalsRowFunction="custom" dataDxfId="10" totalsRowDxfId="9">
      <totalsRowFormula>COUNTIF(Table1[Repeated experiments], "-")</totalsRowFormula>
    </tableColumn>
    <tableColumn id="34" xr3:uid="{26A2744A-49E9-4009-A65C-2D65379339C8}" name="Uses interviewer's prompts" totalsRowFunction="custom" dataDxfId="8" totalsRowDxfId="7">
      <totalsRowFormula>COUNTIF(Table1[Uses interviewer''s prompts], "-")</totalsRowFormula>
    </tableColumn>
    <tableColumn id="36" xr3:uid="{FFC92FCE-D380-4A60-8134-62F806EE9958}" name="Participant inter-partition leakage" totalsRowFunction="custom" dataDxfId="6" totalsRowDxfId="5">
      <totalsRowFormula>COUNTIF(Table1[Participant inter-partition leakage], "-")</totalsRowFormula>
    </tableColumn>
    <tableColumn id="28" xr3:uid="{335EF865-D157-4F55-B6B9-E0443694784E}" name="--" dataDxfId="4"/>
    <tableColumn id="35" xr3:uid="{6B57A7B3-A989-4490-B3D9-072E4DB68254}" name="Included" totalsRowFunction="custom" dataDxfId="3">
      <calculatedColumnFormula>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calculatedColumnFormula>
      <totalsRowFormula>COUNTIF(AF2:AF70, TRUE)</totalsRowFormula>
    </tableColumn>
    <tableColumn id="16" xr3:uid="{B69A742A-43C4-4B9D-8A4B-F8CE46B8F958}" name="Comment" dataDxfId="2" totalsRow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3" dT="2025-09-06T17:58:16.10" personId="{38AD1B54-1DAE-4F2A-AEAB-EA488571B049}" id="{5D057E5A-42CB-4259-8709-A89C3D6C2230}">
    <text>Bi-LSTM and attention details are not provided.</text>
  </threadedComment>
  <threadedComment ref="R3" dT="2025-09-06T17:59:16.91" personId="{38AD1B54-1DAE-4F2A-AEAB-EA488571B049}" id="{79508095-8E16-416A-BF8B-5B5279A15CE1}">
    <text>Hyperparameters were tuned on evaluation set, however exact target metric used for best model selection is not reported.</text>
  </threadedComment>
  <threadedComment ref="U3" dT="2025-09-06T17:46:21.85" personId="{38AD1B54-1DAE-4F2A-AEAB-EA488571B049}" id="{F86C4174-60D2-4FC6-8389-F12818B26BD5}">
    <text>Results on DAIC-WOZ are presented only in a form of chart „when the top-k features are dropped using different dropping criterion”. No specific numeric value provided.</text>
  </threadedComment>
  <threadedComment ref="M4" dT="2025-09-08T08:28:56.20" personId="{38AD1B54-1DAE-4F2A-AEAB-EA488571B049}" id="{B5EAB9F7-0AE9-4931-BB91-52148E0426EE}">
    <text>Process description of aligning 20s audio clips with 5 consecutive sentences is vague.</text>
  </threadedComment>
  <threadedComment ref="Q4" dT="2025-09-08T08:15:03.72" personId="{38AD1B54-1DAE-4F2A-AEAB-EA488571B049}" id="{FEE213E9-B2AB-4BEB-96BB-F88A4F6F6E00}">
    <text>Training details are not disclosed (optimizer, learning rate, batch size, etc).</text>
  </threadedComment>
  <threadedComment ref="R4" dT="2025-09-08T08:17:15.58" personId="{38AD1B54-1DAE-4F2A-AEAB-EA488571B049}" id="{BDDCF5EA-6C00-486C-8740-6B3CD03A56DA}">
    <text>Early stopping is mentioned, but the validation metric is not specified, nor the patience value. Number of cross-validation runs is not reported and 6:2:2 partitioning scheme as well as results reported withoud std suggest single run.</text>
  </threadedComment>
  <threadedComment ref="U4" dT="2025-09-08T08:29:56.77" personId="{38AD1B54-1DAE-4F2A-AEAB-EA488571B049}" id="{CC65231D-AAC7-43BF-BA82-72E4C9F49DB4}">
    <text>Reported results regard unknown partition.</text>
  </threadedComment>
  <threadedComment ref="Q7" dT="2025-09-06T18:19:52.97" personId="{38AD1B54-1DAE-4F2A-AEAB-EA488571B049}" id="{60B38F2D-2F4B-4D58-ADC3-4EFA20A0A96E}">
    <text>Training details are not disclosed (optimizer, learning rate, batch size, epochs, etc), only LoRA hyperparameters.</text>
  </threadedComment>
  <threadedComment ref="R7" dT="2025-09-06T18:17:33.80" personId="{38AD1B54-1DAE-4F2A-AEAB-EA488571B049}" id="{1EEF701B-05E4-4D1E-AB72-D4E6066687A0}">
    <text>Final model selection procedure is not disclosed.</text>
  </threadedComment>
  <threadedComment ref="X7" dT="2025-09-06T18:07:30.28" personId="{38AD1B54-1DAE-4F2A-AEAB-EA488571B049}" id="{8EFD9F19-A637-4C3F-B29D-5620B4B63655}">
    <text>Three rows in Table 2 show identical numbers - potentially reporting error.</text>
  </threadedComment>
  <threadedComment ref="H8" dT="2025-09-04T16:30:33.14" personId="{38AD1B54-1DAE-4F2A-AEAB-EA488571B049}" id="{2858797F-ABD1-436E-860C-1093E77B12CA}">
    <text>For DAIC-WOZ only F1 is reported</text>
  </threadedComment>
  <threadedComment ref="Q9" dT="2025-09-08T09:01:21.20" personId="{38AD1B54-1DAE-4F2A-AEAB-EA488571B049}" id="{76D1A208-D5C5-44DA-8866-910731DB5085}">
    <text>Optimizer used for training is not disclosed.</text>
  </threadedComment>
  <threadedComment ref="R9" dT="2025-09-08T09:06:58.30" personId="{38AD1B54-1DAE-4F2A-AEAB-EA488571B049}" id="{76BC6730-609F-406A-B2AD-C7EC32FAE086}">
    <text>Final model selection procedure is not disclosed.</text>
  </threadedComment>
  <threadedComment ref="U9" dT="2025-09-08T09:06:08.17" personId="{38AD1B54-1DAE-4F2A-AEAB-EA488571B049}" id="{8BC6581E-1C6B-4387-A698-FCD3A8B2212A}">
    <text>Fig. 14. shows clear overfitting to the test set due to the data leakage - test loss decreases no matter how long the model is trained.</text>
  </threadedComment>
  <threadedComment ref="M11" dT="2025-09-08T09:23:50.66" personId="{38AD1B54-1DAE-4F2A-AEAB-EA488571B049}" id="{709B6597-E5AD-4892-914A-82108D046979}">
    <text>Audio normalization and data augmentation procedures are not disclosed.</text>
  </threadedComment>
  <threadedComment ref="O11" dT="2025-09-08T09:37:01.13" personId="{38AD1B54-1DAE-4F2A-AEAB-EA488571B049}" id="{E0BEA98A-0BEC-423A-82D7-A4AA8109AC53}">
    <text>Partitions disjoint level is not disclosed.</text>
  </threadedComment>
  <threadedComment ref="P11" dT="2025-09-08T09:46:31.76" personId="{38AD1B54-1DAE-4F2A-AEAB-EA488571B049}" id="{AA1499B5-5830-4E92-B28A-0EF56A52285B}">
    <text>Detailed model specifications (number of layers, dimensionalities) are not disclosed.</text>
  </threadedComment>
  <threadedComment ref="Q11" dT="2025-09-08T09:34:20.64" personId="{38AD1B54-1DAE-4F2A-AEAB-EA488571B049}" id="{CBA74822-276B-4345-B6B3-C0D64F61D1DF}">
    <text>Training details are not disclosed (optimizer, learning rate, batch size, number of epochs, etc).</text>
  </threadedComment>
  <threadedComment ref="R11" dT="2025-09-08T09:39:06.03" personId="{38AD1B54-1DAE-4F2A-AEAB-EA488571B049}" id="{254CD2DD-931F-45DC-8ED9-87977B029CD0}">
    <text>Final model selection procedure is not disclosed.</text>
  </threadedComment>
  <threadedComment ref="I12" dT="2025-09-06T18:47:53.99" personId="{38AD1B54-1DAE-4F2A-AEAB-EA488571B049}" id="{5630F4FC-2CC8-4923-8364-B6F48EB45CBC}">
    <text xml:space="preserve">Uses 1D-CNN inspired by L. Lin, X. Chen, Y. Shen, and L. Zhang, “Towards automatic depression detection: A bilstm/1d cnn-based model,” Applied Sciences, vol. 10, no. 23, p. 8701, 2020. </text>
  </threadedComment>
  <threadedComment ref="O12" dT="2025-09-06T18:42:30.84" personId="{38AD1B54-1DAE-4F2A-AEAB-EA488571B049}" id="{FA3F49E3-4DA1-47F9-AB5D-838D3A2CAE63}">
    <text>Partitions disjoint level is not explicitly reported.</text>
  </threadedComment>
  <threadedComment ref="P12" dT="2025-09-06T18:38:00.05" personId="{38AD1B54-1DAE-4F2A-AEAB-EA488571B049}" id="{111562B1-5DFE-49F1-B874-6DBA9DF30004}">
    <text>Architectural details for 1D-CNN are not disclosed (layer sizes, kernel sizes, etc).</text>
  </threadedComment>
  <threadedComment ref="Q12" dT="2025-09-06T18:36:19.46" personId="{38AD1B54-1DAE-4F2A-AEAB-EA488571B049}" id="{F1EABA69-DA2E-49FB-AFDA-0357EE5A061F}">
    <text>Training hyperparameters are not disclosed.</text>
  </threadedComment>
  <threadedComment ref="R12" dT="2025-09-06T18:37:00.15" personId="{38AD1B54-1DAE-4F2A-AEAB-EA488571B049}" id="{8986CB0F-B8A4-498D-BC9D-ABBAD742861C}">
    <text>Final model selection procedure is not disclosed.</text>
  </threadedComment>
  <threadedComment ref="P13" dT="2025-09-07T08:59:37.75" personId="{38AD1B54-1DAE-4F2A-AEAB-EA488571B049}" id="{368A7AAE-66F3-4A62-9141-BF8E98A15A03}">
    <text>Prompts are not disclosed. Description of patient simulation from interview transcript is ambiguous.</text>
  </threadedComment>
  <threadedComment ref="P20" dT="2025-09-09T16:39:21.06" personId="{38AD1B54-1DAE-4F2A-AEAB-EA488571B049}" id="{43F8C289-2E91-4D60-9953-E28052238D87}">
    <text>Detailed model specifications (number of layers, dimensionalities) are not disclosed.</text>
  </threadedComment>
  <threadedComment ref="Q20" dT="2025-09-09T16:31:23.70" personId="{38AD1B54-1DAE-4F2A-AEAB-EA488571B049}" id="{AC052D26-1F44-4410-A1CD-7D61BF3BAE9E}">
    <text>Training details are not fully disclosed (number of epochs). „initial learning rate” is mentioned, however learning rate strategy (e.g. reduce on plateau) is not reported.</text>
  </threadedComment>
  <threadedComment ref="R20" dT="2025-09-09T16:41:07.59" personId="{38AD1B54-1DAE-4F2A-AEAB-EA488571B049}" id="{B5D1A18F-DD57-48B5-9822-F5DF685505C8}">
    <text>Final model selection procedure is not disclosed (e.g. early stopping criterion).</text>
  </threadedComment>
  <threadedComment ref="I22" dT="2025-09-08T13:26:58.42" personId="{38AD1B54-1DAE-4F2A-AEAB-EA488571B049}" id="{573C4B64-AF38-4061-B2D8-34456229A2E2}">
    <text>Prompting is not novel (e.g. „Advancing Mental Health Pre-Screening: A New Custom GPT for Psychological Distress Assessment”), as well as transformers finetuning on raw transcripts</text>
  </threadedComment>
  <threadedComment ref="M26" dT="2025-09-08T13:54:20.79" personId="{38AD1B54-1DAE-4F2A-AEAB-EA488571B049}" id="{174AACDC-C7EF-44EA-AD01-42660F41F07B}">
    <text>It is unclear how DAIC-WOZ transcripts were aligned with 30s audio clips in the paper. Paper does not disclose whether interviewer utterances were removed during the preprocessing.</text>
  </threadedComment>
  <threadedComment ref="R26" dT="2025-09-08T13:56:04.55" personId="{38AD1B54-1DAE-4F2A-AEAB-EA488571B049}" id="{872E8225-9564-4265-B071-22DA41D5A2EE}">
    <text>Authors report single value for MAE and RMSE on the test split, which raises question how the best model was selected from 5-fold cross-validation.</text>
  </threadedComment>
  <threadedComment ref="Q43" dT="2025-09-08T14:43:25.86" personId="{38AD1B54-1DAE-4F2A-AEAB-EA488571B049}" id="{624FBEE8-632F-436D-A5CB-5F14B0314075}">
    <text>Training details are not fully disclosed (number of epochs, monitored metric used for learning rate reduction).</text>
  </threadedComment>
  <threadedComment ref="R43" dT="2025-09-08T14:56:35.00" personId="{38AD1B54-1DAE-4F2A-AEAB-EA488571B049}" id="{97208876-CDBE-4B96-9F1D-0626AAB08014}">
    <text>Final model selection procedure (early stopping, target metric, etc.) is not disclosed.</text>
  </threadedComment>
  <threadedComment ref="M56" dT="2025-09-09T18:12:38.38" personId="{38AD1B54-1DAE-4F2A-AEAB-EA488571B049}" id="{C8293E43-FCED-40D6-B9BB-A60CAAF7FE0F}">
    <text>From the preprocessing procedure description it is unclear how textual transcripts of participant utterances were aligned with audio and video modalities, which were split into 6-second clips. It is also unclear, whether interviewer utterances were removed from audio modality.</text>
  </threadedComment>
  <threadedComment ref="P56" dT="2025-09-09T19:23:11.33" personId="{38AD1B54-1DAE-4F2A-AEAB-EA488571B049}" id="{AE92E9F8-6B12-4215-A6AF-DA40B5A77674}">
    <text>From the description it is unclear whether BERT was used as a frozen feature extractor for text modality or its weights were trainable.</text>
  </threadedComment>
  <threadedComment ref="R56" dT="2025-09-09T17:11:03.47" personId="{38AD1B54-1DAE-4F2A-AEAB-EA488571B049}" id="{99A0671D-42C6-4B66-9115-8665D2AFD6C5}">
    <text>Gridsearch for hyperparameters tuning is mentioned, hovewer target metric used for best hyperparameter combination selection is not disclosed.</text>
  </threadedComment>
  <threadedComment ref="U56" dT="2025-09-09T19:19:35.37" personId="{38AD1B54-1DAE-4F2A-AEAB-EA488571B049}" id="{78C498E1-2855-4FFA-B2E5-6CA69369AD88}">
    <text>Reported results regard unknown partition.</text>
  </threadedComment>
  <threadedComment ref="E71" dT="2025-04-01T17:35:12.20" personId="{38AD1B54-1DAE-4F2A-AEAB-EA488571B049}" id="{9B68B1A4-6F77-4C20-83B9-932BBA13DBFA}">
    <text>Number of papers that were filtered out at this stage</text>
  </threadedComment>
  <threadedComment ref="G71" dT="2025-04-01T17:36:08.67" personId="{38AD1B54-1DAE-4F2A-AEAB-EA488571B049}" id="{9EE4B5EC-C74D-4ACE-A823-A5A9548E0488}">
    <text xml:space="preserve">Does not regard DAIC-WOZ dataset </text>
  </threadedComment>
  <threadedComment ref="H71" dT="2025-04-01T17:36:25.04" personId="{38AD1B54-1DAE-4F2A-AEAB-EA488571B049}" id="{2A88D3A4-3D01-4A31-9D88-4DB18487C5CC}">
    <text>Does not use Mean Absolute Error 
(MAE) to assess estimation quality</text>
  </threadedComment>
  <threadedComment ref="I71" dT="2025-04-01T17:36:41.08" personId="{38AD1B54-1DAE-4F2A-AEAB-EA488571B049}" id="{DA3EDAE9-AD1D-4518-A404-A0062D753D4F}">
    <text>Does not introduce a new model 
or repurpose an existing model</text>
  </threadedComment>
  <threadedComment ref="J71" dT="2025-04-01T17:36:51.56" personId="{38AD1B54-1DAE-4F2A-AEAB-EA488571B049}" id="{4A25A468-1073-4BD0-9363-2EA8C91917EF}">
    <text>Not in English</text>
  </threadedComment>
  <threadedComment ref="K71" dT="2025-04-01T17:37:40.63" personId="{38AD1B54-1DAE-4F2A-AEAB-EA488571B049}" id="{AEABD4DE-B112-4A6A-9CEE-C655D1C68564}">
    <text>Records not retrieved during full text screening phase</text>
  </threadedComment>
  <threadedComment ref="N71" dT="2025-04-01T17:36:25.04" personId="{38AD1B54-1DAE-4F2A-AEAB-EA488571B049}" id="{F8491903-E287-4F11-BBFA-AC518C5B5DF8}">
    <text>Does not use Mean Absolute Error 
(MAE) to assess estimation quality</text>
  </threadedComment>
  <threadedComment ref="A72" dT="2025-04-01T16:32:55.40" personId="{38AD1B54-1DAE-4F2A-AEAB-EA488571B049}" id="{B371964B-2AAC-4AC9-A5AE-70545583CE99}">
    <text>All of these are different names of the same dataset</text>
  </threadedComment>
  <threadedComment ref="A72" dT="2025-04-01T16:33:19.92" personId="{38AD1B54-1DAE-4F2A-AEAB-EA488571B049}" id="{550DCD05-EE32-4969-B731-28CE09426E01}" parentId="{B371964B-2AAC-4AC9-A5AE-70545583CE99}">
    <text>Other names refer to different datasets which we exclude in this review</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5-04-01T16:29:59.75" personId="{38AD1B54-1DAE-4F2A-AEAB-EA488571B049}" id="{9517F61E-8098-4492-A4F1-E67F7A5866D4}">
    <text xml:space="preserve">Papers for title and abstract screening </text>
  </threadedComment>
  <threadedComment ref="C4" dT="2025-04-01T16:30:25.04" personId="{38AD1B54-1DAE-4F2A-AEAB-EA488571B049}" id="{EF9FE58F-6167-4A1B-B82A-6CBDF41268F5}">
    <text>Papers for full-text screening</text>
  </threadedComment>
  <threadedComment ref="C5" dT="2025-04-01T16:30:43.70" personId="{38AD1B54-1DAE-4F2A-AEAB-EA488571B049}" id="{B42F6DAD-BFC4-408B-92EB-2EE8848EB4FF}">
    <text>Irrelevant title and/or abstract</text>
  </threadedComment>
  <threadedComment ref="D7" dT="2025-04-01T16:30:58.98" personId="{38AD1B54-1DAE-4F2A-AEAB-EA488571B049}" id="{CAB99698-75FB-43D1-A3EB-8805AE913F7F}">
    <text>Records not retrieved</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search.proquest.com/openview/802728638607f85b2dbcb1bb9f57b394/1?pq-origsite=gscholar&amp;cbl=2032404" TargetMode="External"/><Relationship Id="rId21" Type="http://schemas.openxmlformats.org/officeDocument/2006/relationships/hyperlink" Target="https://link.springer.com/chapter/10.1007/978-3-031-95841-0_51" TargetMode="External"/><Relationship Id="rId42" Type="http://schemas.openxmlformats.org/officeDocument/2006/relationships/hyperlink" Target="https://ieeexplore.ieee.org/abstract/document/10932863/" TargetMode="External"/><Relationship Id="rId47" Type="http://schemas.openxmlformats.org/officeDocument/2006/relationships/hyperlink" Target="https://ieeexplore.ieee.org/abstract/document/10891723/" TargetMode="External"/><Relationship Id="rId63" Type="http://schemas.openxmlformats.org/officeDocument/2006/relationships/hyperlink" Target="https://dl.acm.org/doi/proceedings/10.1145/3711542" TargetMode="External"/><Relationship Id="rId68" Type="http://schemas.openxmlformats.org/officeDocument/2006/relationships/hyperlink" Target="https://dl.acm.org/doi/proceedings/10.1145/3704137" TargetMode="External"/><Relationship Id="rId2" Type="http://schemas.openxmlformats.org/officeDocument/2006/relationships/hyperlink" Target="https://arxiv.org/abs/2505.24609" TargetMode="External"/><Relationship Id="rId16" Type="http://schemas.openxmlformats.org/officeDocument/2006/relationships/hyperlink" Target="https://www.taylorfrancis.com/chapters/edit/10.1201/9781003510932-9/depression-detection-using-machine-learning-algorithms-smart-healthcare-system-sanjay-singh-manoj-kumar-urmila-pilania" TargetMode="External"/><Relationship Id="rId29" Type="http://schemas.openxmlformats.org/officeDocument/2006/relationships/hyperlink" Target="https://dspace.bracu.ac.bd/xmlui/handle/10361/26561" TargetMode="External"/><Relationship Id="rId11" Type="http://schemas.openxmlformats.org/officeDocument/2006/relationships/hyperlink" Target="https://arxiv.org/abs/2505.04931" TargetMode="External"/><Relationship Id="rId24" Type="http://schemas.openxmlformats.org/officeDocument/2006/relationships/hyperlink" Target="http://medinftech.org/index.php/medinftech/article/view/106" TargetMode="External"/><Relationship Id="rId32" Type="http://schemas.openxmlformats.org/officeDocument/2006/relationships/hyperlink" Target="https://ieeexplore.ieee.org/abstract/document/10933581/" TargetMode="External"/><Relationship Id="rId37" Type="http://schemas.openxmlformats.org/officeDocument/2006/relationships/hyperlink" Target="https://www.isca-archive.org/interspeech_2025/hidalgojulia25_interspeech.pdf" TargetMode="External"/><Relationship Id="rId40" Type="http://schemas.openxmlformats.org/officeDocument/2006/relationships/hyperlink" Target="https://research.library.kutztown.edu/jcps/vol19/iss3/3/" TargetMode="External"/><Relationship Id="rId45" Type="http://schemas.openxmlformats.org/officeDocument/2006/relationships/hyperlink" Target="https://ieeexplore.ieee.org/abstract/document/10984933/" TargetMode="External"/><Relationship Id="rId53" Type="http://schemas.openxmlformats.org/officeDocument/2006/relationships/hyperlink" Target="https://ieeexplore.ieee.org/document/11146612/" TargetMode="External"/><Relationship Id="rId58" Type="http://schemas.openxmlformats.org/officeDocument/2006/relationships/hyperlink" Target="https://link.springer.com/chapter/10.1007/978-3-031-73617-9_4" TargetMode="External"/><Relationship Id="rId66" Type="http://schemas.openxmlformats.org/officeDocument/2006/relationships/hyperlink" Target="https://dl.acm.org/doi/proceedings/10.1145/3715336" TargetMode="External"/><Relationship Id="rId5" Type="http://schemas.openxmlformats.org/officeDocument/2006/relationships/hyperlink" Target="https://arxiv.org/abs/2507.05591" TargetMode="External"/><Relationship Id="rId61" Type="http://schemas.openxmlformats.org/officeDocument/2006/relationships/hyperlink" Target="https://dl.acm.org/doi/proceedings/10.1145/3719160" TargetMode="External"/><Relationship Id="rId19" Type="http://schemas.openxmlformats.org/officeDocument/2006/relationships/hyperlink" Target="https://ieeexplore.ieee.org/abstract/document/11017633/" TargetMode="External"/><Relationship Id="rId14" Type="http://schemas.openxmlformats.org/officeDocument/2006/relationships/hyperlink" Target="https://ieeexplore.ieee.org/abstract/document/10943187/" TargetMode="External"/><Relationship Id="rId22" Type="http://schemas.openxmlformats.org/officeDocument/2006/relationships/hyperlink" Target="https://pubs.aip.org/aip/acp/article-abstract/3327/1/020030/3357147" TargetMode="External"/><Relationship Id="rId27" Type="http://schemas.openxmlformats.org/officeDocument/2006/relationships/hyperlink" Target="https://ieeexplore.ieee.org/abstract/document/10901998/" TargetMode="External"/><Relationship Id="rId30" Type="http://schemas.openxmlformats.org/officeDocument/2006/relationships/hyperlink" Target="https://www.sciencedirect.com/science/article/pii/S2589377725000758" TargetMode="External"/><Relationship Id="rId35" Type="http://schemas.openxmlformats.org/officeDocument/2006/relationships/hyperlink" Target="https://ieeexplore.ieee.org/abstract/document/10964242/" TargetMode="External"/><Relationship Id="rId43" Type="http://schemas.openxmlformats.org/officeDocument/2006/relationships/hyperlink" Target="https://onlinelibrary.wiley.com/doi/abs/10.1155/jece/6277690" TargetMode="External"/><Relationship Id="rId48" Type="http://schemas.openxmlformats.org/officeDocument/2006/relationships/hyperlink" Target="https://jutif.if.unsoed.ac.id/index.php/jurnal/article/view/4206" TargetMode="External"/><Relationship Id="rId56" Type="http://schemas.openxmlformats.org/officeDocument/2006/relationships/hyperlink" Target="https://link.springer.com/article/10.1007/s11042-025-21088-3" TargetMode="External"/><Relationship Id="rId64" Type="http://schemas.openxmlformats.org/officeDocument/2006/relationships/hyperlink" Target="https://dl.acm.org/doi/proceedings/10.1145/3708359" TargetMode="External"/><Relationship Id="rId69" Type="http://schemas.openxmlformats.org/officeDocument/2006/relationships/hyperlink" Target="https://dl.acm.org/doi/proceedings/10.1145/3722237" TargetMode="External"/><Relationship Id="rId8" Type="http://schemas.openxmlformats.org/officeDocument/2006/relationships/hyperlink" Target="https://www.sciencedirect.com/science/article/pii/S1746809425010729" TargetMode="External"/><Relationship Id="rId51" Type="http://schemas.openxmlformats.org/officeDocument/2006/relationships/hyperlink" Target="https://ieeexplore.ieee.org/document/10572478/" TargetMode="External"/><Relationship Id="rId72" Type="http://schemas.openxmlformats.org/officeDocument/2006/relationships/comments" Target="../comments1.xml"/><Relationship Id="rId3" Type="http://schemas.openxmlformats.org/officeDocument/2006/relationships/hyperlink" Target="https://www.nature.com/articles/s41598-025-03524-4" TargetMode="External"/><Relationship Id="rId12" Type="http://schemas.openxmlformats.org/officeDocument/2006/relationships/hyperlink" Target="https://arxiv.org/abs/2508.11567" TargetMode="External"/><Relationship Id="rId17" Type="http://schemas.openxmlformats.org/officeDocument/2006/relationships/hyperlink" Target="https://ieeexplore.ieee.org/abstract/document/11086097/" TargetMode="External"/><Relationship Id="rId25" Type="http://schemas.openxmlformats.org/officeDocument/2006/relationships/hyperlink" Target="https://ieeexplore.ieee.org/abstract/document/10943944/" TargetMode="External"/><Relationship Id="rId33" Type="http://schemas.openxmlformats.org/officeDocument/2006/relationships/hyperlink" Target="https://www.frontiersin.org/journals/psychiatry/articles/10.3389/fpsyt.2025.1508772/full" TargetMode="External"/><Relationship Id="rId38" Type="http://schemas.openxmlformats.org/officeDocument/2006/relationships/hyperlink" Target="https://ieeexplore.ieee.org/abstract/document/10989124/" TargetMode="External"/><Relationship Id="rId46" Type="http://schemas.openxmlformats.org/officeDocument/2006/relationships/hyperlink" Target="https://www.mdpi.com/2227-9032/13/11/1348" TargetMode="External"/><Relationship Id="rId59" Type="http://schemas.openxmlformats.org/officeDocument/2006/relationships/hyperlink" Target="https://link.springer.com/article/10.1186/s40537-025-01192-9" TargetMode="External"/><Relationship Id="rId67" Type="http://schemas.openxmlformats.org/officeDocument/2006/relationships/hyperlink" Target="https://dl.acm.org/doi/proceedings/10.1145/3711896" TargetMode="External"/><Relationship Id="rId20" Type="http://schemas.openxmlformats.org/officeDocument/2006/relationships/hyperlink" Target="https://mikokoko123.github.io/portfolio/CS_277_Final.pdf" TargetMode="External"/><Relationship Id="rId41" Type="http://schemas.openxmlformats.org/officeDocument/2006/relationships/hyperlink" Target="https://www.sciencedirect.com/science/article/pii/S0925231225017989" TargetMode="External"/><Relationship Id="rId54" Type="http://schemas.openxmlformats.org/officeDocument/2006/relationships/hyperlink" Target="https://ieeexplore.ieee.org/document/10933581/" TargetMode="External"/><Relationship Id="rId62" Type="http://schemas.openxmlformats.org/officeDocument/2006/relationships/hyperlink" Target="https://dl.acm.org/doi/proceedings/10.1145/3726302" TargetMode="External"/><Relationship Id="rId70" Type="http://schemas.openxmlformats.org/officeDocument/2006/relationships/vmlDrawing" Target="../drawings/vmlDrawing1.vml"/><Relationship Id="rId1" Type="http://schemas.openxmlformats.org/officeDocument/2006/relationships/hyperlink" Target="https://ieeexplore.ieee.org/abstract/document/11062735/" TargetMode="External"/><Relationship Id="rId6" Type="http://schemas.openxmlformats.org/officeDocument/2006/relationships/hyperlink" Target="https://arxiv.org/abs/2505.22863" TargetMode="External"/><Relationship Id="rId15" Type="http://schemas.openxmlformats.org/officeDocument/2006/relationships/hyperlink" Target="https://www.isca-archive.org/interspeech_2025/dumpala25_interspeech.pdf" TargetMode="External"/><Relationship Id="rId23" Type="http://schemas.openxmlformats.org/officeDocument/2006/relationships/hyperlink" Target="https://www.ijsat.org/research-paper.php?id=7651" TargetMode="External"/><Relationship Id="rId28" Type="http://schemas.openxmlformats.org/officeDocument/2006/relationships/hyperlink" Target="https://arxiv.org/abs/2504.01767" TargetMode="External"/><Relationship Id="rId36" Type="http://schemas.openxmlformats.org/officeDocument/2006/relationships/hyperlink" Target="https://ieeexplore.ieee.org/abstract/document/11101534/" TargetMode="External"/><Relationship Id="rId49" Type="http://schemas.openxmlformats.org/officeDocument/2006/relationships/hyperlink" Target="https://search.ebscohost.com/login.aspx?direct=true&amp;profile=ehost&amp;scope=site&amp;authtype=crawler&amp;jrnl=00191442&amp;AN=184115670&amp;h=U9fHN0IZPhV%2FopZ1BQbHtwMwJywVDnkd18VxA0cFQdtEcmL0skwGXWoB9P9fGuJ%2FZnBoKanli16EQrrn%2FToPHA%3D%3D&amp;crl=c" TargetMode="External"/><Relationship Id="rId57" Type="http://schemas.openxmlformats.org/officeDocument/2006/relationships/hyperlink" Target="https://link.springer.com/article/10.1007/s10462-025-11246-2" TargetMode="External"/><Relationship Id="rId10" Type="http://schemas.openxmlformats.org/officeDocument/2006/relationships/hyperlink" Target="https://ieeexplore.ieee.org/abstract/document/11058864/" TargetMode="External"/><Relationship Id="rId31" Type="http://schemas.openxmlformats.org/officeDocument/2006/relationships/hyperlink" Target="https://www.nature.com/articles/s41746-025-01933-3" TargetMode="External"/><Relationship Id="rId44" Type="http://schemas.openxmlformats.org/officeDocument/2006/relationships/hyperlink" Target="https://link.springer.com/article/10.1007/s44174-025-00301-9" TargetMode="External"/><Relationship Id="rId52" Type="http://schemas.openxmlformats.org/officeDocument/2006/relationships/hyperlink" Target="https://ieeexplore.ieee.org/document/10949045/" TargetMode="External"/><Relationship Id="rId60" Type="http://schemas.openxmlformats.org/officeDocument/2006/relationships/hyperlink" Target="https://dl.acm.org/doi/proceedings/10.1145/3701716" TargetMode="External"/><Relationship Id="rId65" Type="http://schemas.openxmlformats.org/officeDocument/2006/relationships/hyperlink" Target="https://dl.acm.org/doi/proceedings/10.1145/3698061" TargetMode="External"/><Relationship Id="rId73" Type="http://schemas.microsoft.com/office/2017/10/relationships/threadedComment" Target="../threadedComments/threadedComment1.xml"/><Relationship Id="rId4" Type="http://schemas.openxmlformats.org/officeDocument/2006/relationships/hyperlink" Target="https://www.taylorfrancis.com/chapters/edit/10.1201/9781032724508-4/advancing-depression-detection-rameshwari-vadhvani-madhushi-verma" TargetMode="External"/><Relationship Id="rId9" Type="http://schemas.openxmlformats.org/officeDocument/2006/relationships/hyperlink" Target="https://ieeexplore.ieee.org/abstract/document/11108151/" TargetMode="External"/><Relationship Id="rId13" Type="http://schemas.openxmlformats.org/officeDocument/2006/relationships/hyperlink" Target="https://arxiv.org/abs/2508.12022" TargetMode="External"/><Relationship Id="rId18" Type="http://schemas.openxmlformats.org/officeDocument/2006/relationships/hyperlink" Target="https://www.inderscienceonline.com/doi/abs/10.1504/IJBET.2025.145219" TargetMode="External"/><Relationship Id="rId39" Type="http://schemas.openxmlformats.org/officeDocument/2006/relationships/hyperlink" Target="https://ieeexplore.ieee.org/abstract/document/10926518/" TargetMode="External"/><Relationship Id="rId34" Type="http://schemas.openxmlformats.org/officeDocument/2006/relationships/hyperlink" Target="https://arxiv.org/abs/2503.20496" TargetMode="External"/><Relationship Id="rId50" Type="http://schemas.openxmlformats.org/officeDocument/2006/relationships/hyperlink" Target="https://arxiv.org/abs/2502.18791" TargetMode="External"/><Relationship Id="rId55" Type="http://schemas.openxmlformats.org/officeDocument/2006/relationships/hyperlink" Target="https://www.sciencedirect.com/science/article/pii/S1746809425006342" TargetMode="External"/><Relationship Id="rId7" Type="http://schemas.openxmlformats.org/officeDocument/2006/relationships/hyperlink" Target="https://arxiv.org/abs/2506.07118" TargetMode="External"/><Relationship Id="rId7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6"/>
  <sheetViews>
    <sheetView zoomScale="66" zoomScaleNormal="80" workbookViewId="0">
      <selection activeCell="H56" sqref="H56"/>
    </sheetView>
  </sheetViews>
  <sheetFormatPr defaultRowHeight="14.5" x14ac:dyDescent="0.35"/>
  <cols>
    <col min="1" max="1" width="43.36328125" style="1" customWidth="1"/>
    <col min="2" max="2" width="10.54296875" customWidth="1"/>
    <col min="3" max="3" width="11.81640625" customWidth="1"/>
    <col min="4" max="4" width="38.26953125" customWidth="1"/>
    <col min="5" max="9" width="18.453125" style="1" customWidth="1"/>
    <col min="10" max="11" width="11.1796875" customWidth="1"/>
    <col min="12" max="12" width="17.81640625" style="1" customWidth="1"/>
    <col min="13" max="13" width="12.90625" bestFit="1" customWidth="1"/>
    <col min="14" max="14" width="13.1796875" bestFit="1" customWidth="1"/>
    <col min="15" max="15" width="12.90625" bestFit="1" customWidth="1"/>
    <col min="16" max="16" width="12.54296875" bestFit="1" customWidth="1"/>
    <col min="17" max="17" width="12.08984375" bestFit="1" customWidth="1"/>
    <col min="18" max="18" width="12.81640625" bestFit="1" customWidth="1"/>
    <col min="20" max="20" width="12.7265625" bestFit="1" customWidth="1"/>
    <col min="21" max="21" width="9.26953125" bestFit="1" customWidth="1"/>
    <col min="22" max="22" width="10.08984375" bestFit="1" customWidth="1"/>
    <col min="23" max="23" width="11.6328125" bestFit="1" customWidth="1"/>
    <col min="24" max="24" width="9.453125" bestFit="1" customWidth="1"/>
    <col min="25" max="25" width="10.453125" bestFit="1" customWidth="1"/>
    <col min="26" max="26" width="12" bestFit="1" customWidth="1"/>
    <col min="27" max="27" width="12.7265625" bestFit="1" customWidth="1"/>
    <col min="28" max="28" width="12.7265625" customWidth="1"/>
    <col min="29" max="29" width="19.81640625" bestFit="1" customWidth="1"/>
    <col min="30" max="30" width="19.81640625" customWidth="1"/>
  </cols>
  <sheetData>
    <row r="1" spans="1:33" s="4" customFormat="1" ht="29" x14ac:dyDescent="0.35">
      <c r="A1" s="2" t="s">
        <v>4</v>
      </c>
      <c r="B1" s="3" t="s">
        <v>5</v>
      </c>
      <c r="C1" s="3" t="s">
        <v>6</v>
      </c>
      <c r="D1" s="3" t="s">
        <v>7</v>
      </c>
      <c r="E1" s="5" t="s">
        <v>8</v>
      </c>
      <c r="F1" s="6" t="s">
        <v>25</v>
      </c>
      <c r="G1" s="6" t="s">
        <v>9</v>
      </c>
      <c r="H1" s="6" t="s">
        <v>18</v>
      </c>
      <c r="I1" s="6" t="s">
        <v>19</v>
      </c>
      <c r="J1" s="6" t="s">
        <v>17</v>
      </c>
      <c r="K1" s="6" t="s">
        <v>27</v>
      </c>
      <c r="L1" s="6" t="s">
        <v>26</v>
      </c>
      <c r="M1" s="6" t="s">
        <v>28</v>
      </c>
      <c r="N1" s="6" t="s">
        <v>29</v>
      </c>
      <c r="O1" s="6" t="s">
        <v>30</v>
      </c>
      <c r="P1" s="6" t="s">
        <v>31</v>
      </c>
      <c r="Q1" s="6" t="s">
        <v>32</v>
      </c>
      <c r="R1" s="6" t="s">
        <v>33</v>
      </c>
      <c r="S1" s="6" t="s">
        <v>34</v>
      </c>
      <c r="T1" s="6" t="s">
        <v>35</v>
      </c>
      <c r="U1" s="6" t="s">
        <v>37</v>
      </c>
      <c r="V1" s="6" t="s">
        <v>38</v>
      </c>
      <c r="W1" s="6" t="s">
        <v>39</v>
      </c>
      <c r="X1" s="6" t="s">
        <v>40</v>
      </c>
      <c r="Y1" s="6" t="s">
        <v>44</v>
      </c>
      <c r="Z1" s="6" t="s">
        <v>41</v>
      </c>
      <c r="AA1" s="6" t="s">
        <v>36</v>
      </c>
      <c r="AB1" s="6" t="s">
        <v>45</v>
      </c>
      <c r="AC1" s="6" t="s">
        <v>50</v>
      </c>
      <c r="AD1" s="6" t="s">
        <v>49</v>
      </c>
      <c r="AE1" s="8" t="s">
        <v>42</v>
      </c>
      <c r="AF1" s="8" t="s">
        <v>47</v>
      </c>
      <c r="AG1" s="9" t="s">
        <v>43</v>
      </c>
    </row>
    <row r="2" spans="1:33" ht="29" hidden="1" x14ac:dyDescent="0.35">
      <c r="A2" s="1" t="s">
        <v>55</v>
      </c>
      <c r="B2" s="15" t="s">
        <v>56</v>
      </c>
      <c r="C2" t="s">
        <v>2</v>
      </c>
      <c r="E2" s="1" t="b">
        <v>1</v>
      </c>
      <c r="J2" s="1"/>
      <c r="K2" s="1"/>
      <c r="L2" s="1" t="b">
        <f>IF(OR(Table1[[#This Row],[Does not regard DAIC-WOZ]]=TRUE,Table1[[#This Row],[Does not use MAE]]=TRUE,Table1[[#This Row],[Does not introduce new model]]=TRUE,Table1[[#This Row],[Not in English]]=TRUE,Table1[[#This Row],[Not retrieved]]=TRUE),TRUE,FALSE)</f>
        <v>0</v>
      </c>
      <c r="N2" s="1"/>
      <c r="O2" s="1"/>
      <c r="P2" s="1"/>
      <c r="Q2" s="1"/>
      <c r="R2" s="1"/>
      <c r="S2" s="1"/>
      <c r="T2" s="1"/>
      <c r="U2" s="1"/>
      <c r="V2" s="1"/>
      <c r="W2" s="1"/>
      <c r="X2" s="1"/>
      <c r="Y2" s="1"/>
      <c r="Z2" s="1"/>
      <c r="AA2" s="1"/>
      <c r="AB2" s="1"/>
      <c r="AC2" s="1"/>
      <c r="AD2" s="1"/>
      <c r="AE2" s="1"/>
      <c r="AF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3" spans="1:33" ht="43.5" x14ac:dyDescent="0.35">
      <c r="A3" s="1" t="s">
        <v>57</v>
      </c>
      <c r="B3" s="15" t="s">
        <v>58</v>
      </c>
      <c r="C3" t="s">
        <v>2</v>
      </c>
      <c r="E3" s="1" t="b">
        <v>0</v>
      </c>
      <c r="J3" s="1"/>
      <c r="K3" s="1"/>
      <c r="L3" s="1" t="b">
        <f>IF(OR(Table1[[#This Row],[Does not regard DAIC-WOZ]]=TRUE,Table1[[#This Row],[Does not use MAE]]=TRUE,Table1[[#This Row],[Does not introduce new model]]=TRUE,Table1[[#This Row],[Not in English]]=TRUE,Table1[[#This Row],[Not retrieved]]=TRUE),TRUE,FALSE)</f>
        <v>0</v>
      </c>
      <c r="M3" s="1" t="s">
        <v>204</v>
      </c>
      <c r="N3" s="1" t="s">
        <v>205</v>
      </c>
      <c r="O3" s="1" t="s">
        <v>203</v>
      </c>
      <c r="P3" s="1" t="s">
        <v>34</v>
      </c>
      <c r="Q3" s="1" t="s">
        <v>206</v>
      </c>
      <c r="R3" s="1" t="s">
        <v>34</v>
      </c>
      <c r="S3" s="1"/>
      <c r="T3" s="1" t="s">
        <v>202</v>
      </c>
      <c r="U3" s="1" t="s">
        <v>34</v>
      </c>
      <c r="V3" s="1" t="s">
        <v>34</v>
      </c>
      <c r="W3" s="1" t="s">
        <v>34</v>
      </c>
      <c r="X3" s="1" t="s">
        <v>34</v>
      </c>
      <c r="Y3" s="1" t="s">
        <v>34</v>
      </c>
      <c r="Z3" s="1" t="s">
        <v>34</v>
      </c>
      <c r="AA3" s="1" t="s">
        <v>201</v>
      </c>
      <c r="AB3" s="1" t="s">
        <v>200</v>
      </c>
      <c r="AC3" s="1" t="s">
        <v>201</v>
      </c>
      <c r="AD3" s="1" t="s">
        <v>200</v>
      </c>
      <c r="AE3" s="1"/>
      <c r="AF3"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3" t="s">
        <v>207</v>
      </c>
    </row>
    <row r="4" spans="1:33" ht="58" x14ac:dyDescent="0.35">
      <c r="A4" s="1" t="s">
        <v>59</v>
      </c>
      <c r="B4" s="15" t="s">
        <v>60</v>
      </c>
      <c r="C4" t="s">
        <v>2</v>
      </c>
      <c r="E4" s="1" t="b">
        <v>0</v>
      </c>
      <c r="J4" s="1"/>
      <c r="K4" s="1"/>
      <c r="L4" s="1" t="b">
        <f>IF(OR(Table1[[#This Row],[Does not regard DAIC-WOZ]]=TRUE,Table1[[#This Row],[Does not use MAE]]=TRUE,Table1[[#This Row],[Does not introduce new model]]=TRUE,Table1[[#This Row],[Not in English]]=TRUE,Table1[[#This Row],[Not retrieved]]=TRUE),TRUE,FALSE)</f>
        <v>0</v>
      </c>
      <c r="M4" s="1" t="s">
        <v>34</v>
      </c>
      <c r="N4" t="s">
        <v>216</v>
      </c>
      <c r="O4" s="1" t="s">
        <v>218</v>
      </c>
      <c r="P4" s="1" t="s">
        <v>206</v>
      </c>
      <c r="Q4" s="1" t="s">
        <v>34</v>
      </c>
      <c r="R4" s="1" t="s">
        <v>34</v>
      </c>
      <c r="S4" s="1"/>
      <c r="T4" s="1" t="s">
        <v>217</v>
      </c>
      <c r="U4" s="1" t="s">
        <v>34</v>
      </c>
      <c r="V4" s="1" t="s">
        <v>34</v>
      </c>
      <c r="W4" s="1" t="s">
        <v>34</v>
      </c>
      <c r="X4" s="1" t="s">
        <v>34</v>
      </c>
      <c r="Y4" s="1" t="s">
        <v>34</v>
      </c>
      <c r="Z4" s="1" t="s">
        <v>34</v>
      </c>
      <c r="AA4" s="1" t="s">
        <v>200</v>
      </c>
      <c r="AB4" s="1" t="s">
        <v>200</v>
      </c>
      <c r="AC4" s="1" t="s">
        <v>201</v>
      </c>
      <c r="AD4" s="1" t="s">
        <v>201</v>
      </c>
      <c r="AE4" s="1"/>
      <c r="AF4"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4" t="s">
        <v>219</v>
      </c>
    </row>
    <row r="5" spans="1:33" ht="29" hidden="1" x14ac:dyDescent="0.35">
      <c r="A5" s="1" t="s">
        <v>61</v>
      </c>
      <c r="B5" s="15" t="s">
        <v>62</v>
      </c>
      <c r="C5" t="s">
        <v>2</v>
      </c>
      <c r="E5" s="1" t="b">
        <v>1</v>
      </c>
      <c r="J5" s="1"/>
      <c r="K5" s="1"/>
      <c r="L5" s="1" t="b">
        <f>IF(OR(Table1[[#This Row],[Does not regard DAIC-WOZ]]=TRUE,Table1[[#This Row],[Does not use MAE]]=TRUE,Table1[[#This Row],[Does not introduce new model]]=TRUE,Table1[[#This Row],[Not in English]]=TRUE,Table1[[#This Row],[Not retrieved]]=TRUE),TRUE,FALSE)</f>
        <v>0</v>
      </c>
      <c r="M5" s="1"/>
      <c r="N5" s="1"/>
      <c r="O5" s="1"/>
      <c r="P5" s="1"/>
      <c r="Q5" s="1"/>
      <c r="R5" s="1"/>
      <c r="S5" s="1"/>
      <c r="T5" s="1"/>
      <c r="U5" s="1"/>
      <c r="V5" s="1"/>
      <c r="W5" s="1"/>
      <c r="X5" s="1"/>
      <c r="Y5" s="1"/>
      <c r="Z5" s="1"/>
      <c r="AA5" s="1"/>
      <c r="AB5" s="1"/>
      <c r="AC5" s="1"/>
      <c r="AD5" s="1"/>
      <c r="AE5" s="1"/>
      <c r="AF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6" spans="1:33" ht="43.5" hidden="1" x14ac:dyDescent="0.35">
      <c r="A6" s="1" t="s">
        <v>63</v>
      </c>
      <c r="B6" s="15" t="s">
        <v>64</v>
      </c>
      <c r="C6" t="s">
        <v>2</v>
      </c>
      <c r="E6" s="1" t="b">
        <v>0</v>
      </c>
      <c r="F6" s="1" t="s">
        <v>20</v>
      </c>
      <c r="G6" s="1" t="b">
        <v>1</v>
      </c>
      <c r="J6" s="1"/>
      <c r="K6" s="1"/>
      <c r="L6" s="1" t="b">
        <f>IF(OR(Table1[[#This Row],[Does not regard DAIC-WOZ]]=TRUE,Table1[[#This Row],[Does not use MAE]]=TRUE,Table1[[#This Row],[Does not introduce new model]]=TRUE,Table1[[#This Row],[Not in English]]=TRUE,Table1[[#This Row],[Not retrieved]]=TRUE),TRUE,FALSE)</f>
        <v>1</v>
      </c>
      <c r="M6" s="1"/>
      <c r="N6" s="1"/>
      <c r="O6" s="1"/>
      <c r="P6" s="1"/>
      <c r="Q6" s="1"/>
      <c r="R6" s="1"/>
      <c r="S6" s="1"/>
      <c r="T6" s="1"/>
      <c r="U6" s="1"/>
      <c r="V6" s="1"/>
      <c r="W6" s="1"/>
      <c r="X6" s="1"/>
      <c r="Y6" s="1"/>
      <c r="Z6" s="1"/>
      <c r="AA6" s="1"/>
      <c r="AB6" s="1"/>
      <c r="AC6" s="1"/>
      <c r="AD6" s="1"/>
      <c r="AE6" s="1"/>
      <c r="AF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7" spans="1:33" ht="101.5" x14ac:dyDescent="0.35">
      <c r="A7" s="1" t="s">
        <v>65</v>
      </c>
      <c r="B7" s="15" t="s">
        <v>66</v>
      </c>
      <c r="C7" t="s">
        <v>2</v>
      </c>
      <c r="D7" s="1"/>
      <c r="E7" s="1" t="b">
        <v>0</v>
      </c>
      <c r="J7" s="1"/>
      <c r="K7" s="1"/>
      <c r="L7" s="1" t="b">
        <f>IF(OR(Table1[[#This Row],[Does not regard DAIC-WOZ]]=TRUE,Table1[[#This Row],[Does not use MAE]]=TRUE,Table1[[#This Row],[Does not introduce new model]]=TRUE,Table1[[#This Row],[Not in English]]=TRUE,Table1[[#This Row],[Not retrieved]]=TRUE),TRUE,FALSE)</f>
        <v>0</v>
      </c>
      <c r="M7" s="1" t="s">
        <v>208</v>
      </c>
      <c r="N7" s="1" t="s">
        <v>210</v>
      </c>
      <c r="O7" s="1" t="s">
        <v>209</v>
      </c>
      <c r="P7" s="1" t="s">
        <v>206</v>
      </c>
      <c r="Q7" s="1" t="s">
        <v>34</v>
      </c>
      <c r="R7" s="1" t="s">
        <v>34</v>
      </c>
      <c r="S7" s="1"/>
      <c r="T7" s="1" t="s">
        <v>202</v>
      </c>
      <c r="U7" s="1" t="s">
        <v>34</v>
      </c>
      <c r="V7" s="1" t="s">
        <v>34</v>
      </c>
      <c r="W7" s="1" t="s">
        <v>34</v>
      </c>
      <c r="X7" s="1">
        <v>5.3540000000000001</v>
      </c>
      <c r="Y7" s="1">
        <v>6.4290000000000003</v>
      </c>
      <c r="Z7" s="1" t="s">
        <v>34</v>
      </c>
      <c r="AA7" s="1" t="s">
        <v>201</v>
      </c>
      <c r="AB7" s="1" t="s">
        <v>200</v>
      </c>
      <c r="AC7" s="1" t="s">
        <v>200</v>
      </c>
      <c r="AD7" s="1" t="s">
        <v>200</v>
      </c>
      <c r="AE7" s="1"/>
      <c r="AF7"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7" t="s">
        <v>212</v>
      </c>
    </row>
    <row r="8" spans="1:33" ht="29" hidden="1" x14ac:dyDescent="0.35">
      <c r="A8" s="1" t="s">
        <v>67</v>
      </c>
      <c r="B8" s="15" t="s">
        <v>68</v>
      </c>
      <c r="C8" t="s">
        <v>2</v>
      </c>
      <c r="E8" s="1" t="b">
        <v>0</v>
      </c>
      <c r="H8" s="1" t="b">
        <v>1</v>
      </c>
      <c r="J8" s="1"/>
      <c r="K8" s="1"/>
      <c r="L8" s="1" t="b">
        <f>IF(OR(Table1[[#This Row],[Does not regard DAIC-WOZ]]=TRUE,Table1[[#This Row],[Does not use MAE]]=TRUE,Table1[[#This Row],[Does not introduce new model]]=TRUE,Table1[[#This Row],[Not in English]]=TRUE,Table1[[#This Row],[Not retrieved]]=TRUE),TRUE,FALSE)</f>
        <v>1</v>
      </c>
      <c r="M8" s="1"/>
      <c r="N8" s="1"/>
      <c r="O8" s="1"/>
      <c r="P8" s="1"/>
      <c r="Q8" s="1"/>
      <c r="R8" s="1"/>
      <c r="S8" s="1"/>
      <c r="T8" s="1"/>
      <c r="U8" s="1"/>
      <c r="V8" s="1"/>
      <c r="W8" s="1"/>
      <c r="X8" s="1"/>
      <c r="Y8" s="1"/>
      <c r="Z8" s="1"/>
      <c r="AA8" s="1"/>
      <c r="AB8" s="1"/>
      <c r="AC8" s="1"/>
      <c r="AD8" s="1"/>
      <c r="AE8" s="1"/>
      <c r="AF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 s="1"/>
    </row>
    <row r="9" spans="1:33" ht="188.5" x14ac:dyDescent="0.35">
      <c r="A9" s="1" t="s">
        <v>69</v>
      </c>
      <c r="B9" s="15" t="s">
        <v>70</v>
      </c>
      <c r="C9" t="s">
        <v>2</v>
      </c>
      <c r="E9" s="1" t="b">
        <v>0</v>
      </c>
      <c r="J9" s="1"/>
      <c r="K9" s="1"/>
      <c r="L9" s="1" t="b">
        <f>IF(OR(Table1[[#This Row],[Does not regard DAIC-WOZ]]=TRUE,Table1[[#This Row],[Does not use MAE]]=TRUE,Table1[[#This Row],[Does not introduce new model]]=TRUE,Table1[[#This Row],[Not in English]]=TRUE,Table1[[#This Row],[Not retrieved]]=TRUE),TRUE,FALSE)</f>
        <v>0</v>
      </c>
      <c r="M9" s="1" t="s">
        <v>220</v>
      </c>
      <c r="N9" s="1" t="s">
        <v>221</v>
      </c>
      <c r="O9" s="1" t="s">
        <v>203</v>
      </c>
      <c r="P9" s="1" t="s">
        <v>206</v>
      </c>
      <c r="Q9" s="1" t="s">
        <v>34</v>
      </c>
      <c r="R9" s="1" t="s">
        <v>34</v>
      </c>
      <c r="S9" s="1"/>
      <c r="T9" s="1" t="s">
        <v>222</v>
      </c>
      <c r="U9">
        <v>0.03</v>
      </c>
      <c r="V9" s="1">
        <v>0.21</v>
      </c>
      <c r="W9" s="1" t="s">
        <v>34</v>
      </c>
      <c r="X9" s="1" t="s">
        <v>34</v>
      </c>
      <c r="Y9" s="1" t="s">
        <v>34</v>
      </c>
      <c r="Z9" s="1" t="s">
        <v>34</v>
      </c>
      <c r="AA9" s="1" t="s">
        <v>200</v>
      </c>
      <c r="AB9" s="1" t="s">
        <v>200</v>
      </c>
      <c r="AC9" s="1" t="s">
        <v>200</v>
      </c>
      <c r="AD9" s="1" t="s">
        <v>201</v>
      </c>
      <c r="AE9" s="1"/>
      <c r="AF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9" t="s">
        <v>223</v>
      </c>
    </row>
    <row r="10" spans="1:33" ht="29" hidden="1" x14ac:dyDescent="0.35">
      <c r="A10" s="1" t="s">
        <v>71</v>
      </c>
      <c r="B10" s="15" t="s">
        <v>72</v>
      </c>
      <c r="C10" t="s">
        <v>2</v>
      </c>
      <c r="E10" s="1" t="b">
        <v>1</v>
      </c>
      <c r="J10" s="1"/>
      <c r="K10" s="1"/>
      <c r="L10" s="1" t="b">
        <f>IF(OR(Table1[[#This Row],[Does not regard DAIC-WOZ]]=TRUE,Table1[[#This Row],[Does not use MAE]]=TRUE,Table1[[#This Row],[Does not introduce new model]]=TRUE,Table1[[#This Row],[Not in English]]=TRUE,Table1[[#This Row],[Not retrieved]]=TRUE),TRUE,FALSE)</f>
        <v>0</v>
      </c>
      <c r="M10" s="1"/>
      <c r="N10" s="1"/>
      <c r="O10" s="1"/>
      <c r="P10" s="1"/>
      <c r="Q10" s="1"/>
      <c r="R10" s="1"/>
      <c r="S10" s="1"/>
      <c r="T10" s="1"/>
      <c r="U10" s="1"/>
      <c r="V10" s="1"/>
      <c r="W10" s="1"/>
      <c r="X10" s="1"/>
      <c r="Y10" s="1"/>
      <c r="Z10" s="1"/>
      <c r="AA10" s="1"/>
      <c r="AB10" s="1"/>
      <c r="AC10" s="1"/>
      <c r="AD10" s="1"/>
      <c r="AE10" s="1"/>
      <c r="AF1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1" spans="1:33" ht="58" x14ac:dyDescent="0.35">
      <c r="A11" s="1" t="s">
        <v>73</v>
      </c>
      <c r="B11" s="15" t="s">
        <v>74</v>
      </c>
      <c r="C11" t="s">
        <v>2</v>
      </c>
      <c r="E11" s="1" t="b">
        <v>0</v>
      </c>
      <c r="J11" s="1"/>
      <c r="K11" s="1"/>
      <c r="L11" s="1" t="b">
        <f>IF(OR(Table1[[#This Row],[Does not regard DAIC-WOZ]]=TRUE,Table1[[#This Row],[Does not use MAE]]=TRUE,Table1[[#This Row],[Does not introduce new model]]=TRUE,Table1[[#This Row],[Not in English]]=TRUE,Table1[[#This Row],[Not retrieved]]=TRUE),TRUE,FALSE)</f>
        <v>0</v>
      </c>
      <c r="M11" s="1" t="s">
        <v>34</v>
      </c>
      <c r="N11" s="1" t="s">
        <v>226</v>
      </c>
      <c r="O11" s="1" t="s">
        <v>34</v>
      </c>
      <c r="P11" s="1" t="s">
        <v>34</v>
      </c>
      <c r="Q11" s="1" t="s">
        <v>34</v>
      </c>
      <c r="R11" s="1" t="s">
        <v>34</v>
      </c>
      <c r="S11" s="1"/>
      <c r="T11" s="1" t="s">
        <v>217</v>
      </c>
      <c r="U11" s="1" t="s">
        <v>224</v>
      </c>
      <c r="V11" s="1" t="s">
        <v>225</v>
      </c>
      <c r="W11" s="1" t="s">
        <v>34</v>
      </c>
      <c r="X11" s="1" t="s">
        <v>34</v>
      </c>
      <c r="Y11" s="1" t="s">
        <v>34</v>
      </c>
      <c r="Z11" s="1" t="s">
        <v>34</v>
      </c>
      <c r="AA11" s="1" t="s">
        <v>200</v>
      </c>
      <c r="AB11" s="1" t="s">
        <v>201</v>
      </c>
      <c r="AC11" s="1" t="s">
        <v>201</v>
      </c>
      <c r="AD11" s="1" t="s">
        <v>34</v>
      </c>
      <c r="AE11" s="1"/>
      <c r="AF1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1" t="s">
        <v>227</v>
      </c>
    </row>
    <row r="12" spans="1:33" ht="101.5" hidden="1" x14ac:dyDescent="0.35">
      <c r="A12" s="1" t="s">
        <v>75</v>
      </c>
      <c r="B12" s="15" t="s">
        <v>76</v>
      </c>
      <c r="C12" t="s">
        <v>2</v>
      </c>
      <c r="D12" s="1"/>
      <c r="E12" s="1" t="b">
        <v>0</v>
      </c>
      <c r="I12" s="1" t="b">
        <v>1</v>
      </c>
      <c r="J12" s="1"/>
      <c r="K12" s="1"/>
      <c r="L12" s="1" t="b">
        <f>IF(OR(Table1[[#This Row],[Does not regard DAIC-WOZ]]=TRUE,Table1[[#This Row],[Does not use MAE]]=TRUE,Table1[[#This Row],[Does not introduce new model]]=TRUE,Table1[[#This Row],[Not in English]]=TRUE,Table1[[#This Row],[Not retrieved]]=TRUE),TRUE,FALSE)</f>
        <v>1</v>
      </c>
      <c r="M12" t="s">
        <v>213</v>
      </c>
      <c r="N12" s="1" t="s">
        <v>210</v>
      </c>
      <c r="O12" s="1"/>
      <c r="P12" s="1" t="s">
        <v>34</v>
      </c>
      <c r="Q12" s="1" t="s">
        <v>34</v>
      </c>
      <c r="R12" s="1" t="s">
        <v>34</v>
      </c>
      <c r="S12" s="1"/>
      <c r="T12" s="1" t="s">
        <v>211</v>
      </c>
      <c r="U12" s="1">
        <v>5.24</v>
      </c>
      <c r="V12" s="1">
        <v>6.04</v>
      </c>
      <c r="W12" s="1" t="s">
        <v>34</v>
      </c>
      <c r="X12" s="1">
        <v>5.19</v>
      </c>
      <c r="Y12" s="1">
        <v>6.08</v>
      </c>
      <c r="Z12" s="1" t="s">
        <v>34</v>
      </c>
      <c r="AA12" s="1" t="s">
        <v>200</v>
      </c>
      <c r="AB12" s="1" t="s">
        <v>200</v>
      </c>
      <c r="AC12" s="1" t="s">
        <v>200</v>
      </c>
      <c r="AD12" s="1" t="s">
        <v>200</v>
      </c>
      <c r="AE12" s="1"/>
      <c r="AF12" s="1"/>
      <c r="AG12" s="1"/>
    </row>
    <row r="13" spans="1:33" ht="101.5" x14ac:dyDescent="0.35">
      <c r="A13" s="1" t="s">
        <v>77</v>
      </c>
      <c r="B13" s="15" t="s">
        <v>78</v>
      </c>
      <c r="C13" t="s">
        <v>2</v>
      </c>
      <c r="D13" s="1"/>
      <c r="E13" s="1" t="b">
        <v>0</v>
      </c>
      <c r="J13" s="1"/>
      <c r="K13" s="1"/>
      <c r="L13" s="1" t="b">
        <f>IF(OR(Table1[[#This Row],[Does not regard DAIC-WOZ]]=TRUE,Table1[[#This Row],[Does not use MAE]]=TRUE,Table1[[#This Row],[Does not introduce new model]]=TRUE,Table1[[#This Row],[Not in English]]=TRUE,Table1[[#This Row],[Not retrieved]]=TRUE),TRUE,FALSE)</f>
        <v>0</v>
      </c>
      <c r="M13" s="1" t="s">
        <v>204</v>
      </c>
      <c r="N13" s="1" t="s">
        <v>214</v>
      </c>
      <c r="O13" s="1" t="s">
        <v>203</v>
      </c>
      <c r="P13" s="1" t="s">
        <v>34</v>
      </c>
      <c r="Q13" s="1" t="s">
        <v>46</v>
      </c>
      <c r="R13" s="1" t="s">
        <v>46</v>
      </c>
      <c r="S13" s="1"/>
      <c r="T13" s="1" t="s">
        <v>202</v>
      </c>
      <c r="U13" s="1">
        <v>2.5139999999999998</v>
      </c>
      <c r="V13" s="1" t="s">
        <v>34</v>
      </c>
      <c r="W13" s="1" t="s">
        <v>34</v>
      </c>
      <c r="X13" s="1" t="s">
        <v>34</v>
      </c>
      <c r="Y13" s="1" t="s">
        <v>34</v>
      </c>
      <c r="Z13" s="1" t="s">
        <v>34</v>
      </c>
      <c r="AA13" s="1" t="s">
        <v>200</v>
      </c>
      <c r="AB13" s="1" t="s">
        <v>200</v>
      </c>
      <c r="AC13" s="1" t="s">
        <v>201</v>
      </c>
      <c r="AD13" s="1" t="s">
        <v>200</v>
      </c>
      <c r="AE13" s="1"/>
      <c r="AF13"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3" t="s">
        <v>215</v>
      </c>
    </row>
    <row r="14" spans="1:33" ht="29" hidden="1" x14ac:dyDescent="0.35">
      <c r="A14" s="1" t="s">
        <v>79</v>
      </c>
      <c r="B14" s="15" t="s">
        <v>80</v>
      </c>
      <c r="C14" t="s">
        <v>2</v>
      </c>
      <c r="E14" s="1" t="b">
        <v>1</v>
      </c>
      <c r="J14" s="1"/>
      <c r="K14" s="1"/>
      <c r="L14" s="1" t="b">
        <f>IF(OR(Table1[[#This Row],[Does not regard DAIC-WOZ]]=TRUE,Table1[[#This Row],[Does not use MAE]]=TRUE,Table1[[#This Row],[Does not introduce new model]]=TRUE,Table1[[#This Row],[Not in English]]=TRUE,Table1[[#This Row],[Not retrieved]]=TRUE),TRUE,FALSE)</f>
        <v>0</v>
      </c>
      <c r="M14" s="1"/>
      <c r="N14" s="1"/>
      <c r="O14" s="1"/>
      <c r="P14" s="1"/>
      <c r="Q14" s="1"/>
      <c r="R14" s="1"/>
      <c r="S14" s="1"/>
      <c r="T14" s="1"/>
      <c r="U14" s="1"/>
      <c r="V14" s="1"/>
      <c r="W14" s="1"/>
      <c r="X14" s="1"/>
      <c r="Y14" s="1"/>
      <c r="Z14" s="1"/>
      <c r="AA14" s="1"/>
      <c r="AB14" s="1"/>
      <c r="AC14" s="1"/>
      <c r="AD14" s="1"/>
      <c r="AE14" s="1"/>
      <c r="AF1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5" spans="1:33" ht="29" hidden="1" x14ac:dyDescent="0.35">
      <c r="A15" s="1" t="s">
        <v>81</v>
      </c>
      <c r="B15" s="15" t="s">
        <v>82</v>
      </c>
      <c r="C15" t="s">
        <v>2</v>
      </c>
      <c r="D15" s="1"/>
      <c r="E15" s="1" t="b">
        <v>1</v>
      </c>
      <c r="J15" s="1"/>
      <c r="K15" s="1"/>
      <c r="L15" s="1" t="b">
        <f>IF(OR(Table1[[#This Row],[Does not regard DAIC-WOZ]]=TRUE,Table1[[#This Row],[Does not use MAE]]=TRUE,Table1[[#This Row],[Does not introduce new model]]=TRUE,Table1[[#This Row],[Not in English]]=TRUE,Table1[[#This Row],[Not retrieved]]=TRUE),TRUE,FALSE)</f>
        <v>0</v>
      </c>
      <c r="M15" s="1"/>
      <c r="N15" s="1"/>
      <c r="O15" s="1"/>
      <c r="P15" s="1"/>
      <c r="Q15" s="1"/>
      <c r="R15" s="1"/>
      <c r="S15" s="1"/>
      <c r="T15" s="1"/>
      <c r="U15" s="1"/>
      <c r="V15" s="1"/>
      <c r="W15" s="1"/>
      <c r="X15" s="1"/>
      <c r="Y15" s="1"/>
      <c r="Z15" s="1"/>
      <c r="AA15" s="1"/>
      <c r="AB15" s="1"/>
      <c r="AC15" s="1"/>
      <c r="AD15" s="1"/>
      <c r="AE15" s="1"/>
      <c r="AF1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 s="1"/>
    </row>
    <row r="16" spans="1:33" ht="29" hidden="1" x14ac:dyDescent="0.35">
      <c r="A16" s="1" t="s">
        <v>83</v>
      </c>
      <c r="B16" s="15" t="s">
        <v>84</v>
      </c>
      <c r="C16" t="s">
        <v>2</v>
      </c>
      <c r="E16" s="1" t="b">
        <v>1</v>
      </c>
      <c r="J16" s="1"/>
      <c r="K16" s="1"/>
      <c r="L16" s="1" t="b">
        <f>IF(OR(Table1[[#This Row],[Does not regard DAIC-WOZ]]=TRUE,Table1[[#This Row],[Does not use MAE]]=TRUE,Table1[[#This Row],[Does not introduce new model]]=TRUE,Table1[[#This Row],[Not in English]]=TRUE,Table1[[#This Row],[Not retrieved]]=TRUE),TRUE,FALSE)</f>
        <v>0</v>
      </c>
      <c r="M16" s="1"/>
      <c r="N16" s="1"/>
      <c r="O16" s="1"/>
      <c r="P16" s="1"/>
      <c r="Q16" s="1"/>
      <c r="R16" s="1"/>
      <c r="S16" s="1"/>
      <c r="T16" s="1"/>
      <c r="U16" s="1"/>
      <c r="V16" s="1"/>
      <c r="W16" s="1"/>
      <c r="X16" s="1"/>
      <c r="Y16" s="1"/>
      <c r="Z16" s="1"/>
      <c r="AA16" s="1"/>
      <c r="AB16" s="1"/>
      <c r="AC16" s="1"/>
      <c r="AD16" s="1"/>
      <c r="AE16" s="1"/>
      <c r="AF1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7" spans="1:33" ht="29" hidden="1" x14ac:dyDescent="0.35">
      <c r="A17" s="1" t="s">
        <v>85</v>
      </c>
      <c r="B17" s="15" t="s">
        <v>86</v>
      </c>
      <c r="C17" t="s">
        <v>2</v>
      </c>
      <c r="E17" s="1" t="b">
        <v>1</v>
      </c>
      <c r="J17" s="1"/>
      <c r="K17" s="1"/>
      <c r="L17" s="1" t="b">
        <f>IF(OR(Table1[[#This Row],[Does not regard DAIC-WOZ]]=TRUE,Table1[[#This Row],[Does not use MAE]]=TRUE,Table1[[#This Row],[Does not introduce new model]]=TRUE,Table1[[#This Row],[Not in English]]=TRUE,Table1[[#This Row],[Not retrieved]]=TRUE),TRUE,FALSE)</f>
        <v>0</v>
      </c>
      <c r="M17" s="1"/>
      <c r="N17" s="1"/>
      <c r="O17" s="1"/>
      <c r="P17" s="1"/>
      <c r="Q17" s="1"/>
      <c r="R17" s="1"/>
      <c r="S17" s="1"/>
      <c r="T17" s="1"/>
      <c r="U17" s="1"/>
      <c r="V17" s="1"/>
      <c r="W17" s="1"/>
      <c r="X17" s="1"/>
      <c r="Y17" s="1"/>
      <c r="Z17" s="1"/>
      <c r="AA17" s="1"/>
      <c r="AB17" s="1"/>
      <c r="AC17" s="1"/>
      <c r="AD17" s="1"/>
      <c r="AE17" s="1"/>
      <c r="AF1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8" spans="1:33" ht="43.5" hidden="1" x14ac:dyDescent="0.35">
      <c r="A18" s="1" t="s">
        <v>87</v>
      </c>
      <c r="B18" s="15" t="s">
        <v>88</v>
      </c>
      <c r="C18" t="s">
        <v>2</v>
      </c>
      <c r="D18" s="1"/>
      <c r="E18" s="1" t="b">
        <v>1</v>
      </c>
      <c r="J18" s="1"/>
      <c r="K18" s="1"/>
      <c r="L18" s="1" t="b">
        <f>IF(OR(Table1[[#This Row],[Does not regard DAIC-WOZ]]=TRUE,Table1[[#This Row],[Does not use MAE]]=TRUE,Table1[[#This Row],[Does not introduce new model]]=TRUE,Table1[[#This Row],[Not in English]]=TRUE,Table1[[#This Row],[Not retrieved]]=TRUE),TRUE,FALSE)</f>
        <v>0</v>
      </c>
      <c r="M18" s="1"/>
      <c r="N18" s="1"/>
      <c r="O18" s="1"/>
      <c r="P18" s="1"/>
      <c r="Q18" s="1"/>
      <c r="R18" s="1"/>
      <c r="S18" s="1"/>
      <c r="T18" s="1"/>
      <c r="U18" s="1"/>
      <c r="V18" s="1"/>
      <c r="W18" s="1"/>
      <c r="X18" s="1"/>
      <c r="Y18" s="1"/>
      <c r="Z18" s="1"/>
      <c r="AA18" s="1"/>
      <c r="AB18" s="1"/>
      <c r="AC18" s="1"/>
      <c r="AD18" s="1"/>
      <c r="AE18" s="1"/>
      <c r="AF1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8" s="1"/>
    </row>
    <row r="19" spans="1:33" ht="58" hidden="1" x14ac:dyDescent="0.35">
      <c r="A19" s="1" t="s">
        <v>89</v>
      </c>
      <c r="B19" s="15" t="s">
        <v>90</v>
      </c>
      <c r="C19" t="s">
        <v>2</v>
      </c>
      <c r="E19" s="1" t="b">
        <v>1</v>
      </c>
      <c r="J19" s="1"/>
      <c r="K19" s="1"/>
      <c r="L19" s="1" t="b">
        <f>IF(OR(Table1[[#This Row],[Does not regard DAIC-WOZ]]=TRUE,Table1[[#This Row],[Does not use MAE]]=TRUE,Table1[[#This Row],[Does not introduce new model]]=TRUE,Table1[[#This Row],[Not in English]]=TRUE,Table1[[#This Row],[Not retrieved]]=TRUE),TRUE,FALSE)</f>
        <v>0</v>
      </c>
      <c r="M19" s="1"/>
      <c r="N19" s="1"/>
      <c r="O19" s="1"/>
      <c r="P19" s="1"/>
      <c r="Q19" s="1"/>
      <c r="R19" s="1"/>
      <c r="S19" s="1"/>
      <c r="T19" s="1"/>
      <c r="U19" s="1"/>
      <c r="V19" s="1"/>
      <c r="W19" s="1"/>
      <c r="X19" s="1"/>
      <c r="Y19" s="1"/>
      <c r="Z19" s="1"/>
      <c r="AA19" s="1"/>
      <c r="AB19" s="1"/>
      <c r="AC19" s="1"/>
      <c r="AD19" s="1"/>
      <c r="AE19" s="1"/>
      <c r="AF1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20" spans="1:33" ht="116" x14ac:dyDescent="0.35">
      <c r="A20" s="1" t="s">
        <v>91</v>
      </c>
      <c r="B20" s="15" t="s">
        <v>92</v>
      </c>
      <c r="C20" t="s">
        <v>2</v>
      </c>
      <c r="D20" s="1"/>
      <c r="E20" s="1" t="b">
        <v>0</v>
      </c>
      <c r="J20" s="1"/>
      <c r="K20" s="1"/>
      <c r="L20" s="1" t="b">
        <f>IF(OR(Table1[[#This Row],[Does not regard DAIC-WOZ]]=TRUE,Table1[[#This Row],[Does not use MAE]]=TRUE,Table1[[#This Row],[Does not introduce new model]]=TRUE,Table1[[#This Row],[Not in English]]=TRUE,Table1[[#This Row],[Not retrieved]]=TRUE),TRUE,FALSE)</f>
        <v>0</v>
      </c>
      <c r="M20" s="1" t="s">
        <v>234</v>
      </c>
      <c r="N20" s="1" t="s">
        <v>210</v>
      </c>
      <c r="O20" s="1" t="s">
        <v>233</v>
      </c>
      <c r="P20" s="1" t="s">
        <v>34</v>
      </c>
      <c r="Q20" s="1" t="s">
        <v>34</v>
      </c>
      <c r="R20" s="1" t="s">
        <v>34</v>
      </c>
      <c r="S20" s="1"/>
      <c r="T20" s="1" t="s">
        <v>211</v>
      </c>
      <c r="U20" s="16">
        <v>4.8</v>
      </c>
      <c r="V20" s="1">
        <v>5.57</v>
      </c>
      <c r="W20" s="1" t="s">
        <v>34</v>
      </c>
      <c r="X20" s="1">
        <v>5.09</v>
      </c>
      <c r="Y20" s="1">
        <v>6.01</v>
      </c>
      <c r="Z20" s="1" t="s">
        <v>34</v>
      </c>
      <c r="AA20" s="1" t="s">
        <v>200</v>
      </c>
      <c r="AB20" s="1" t="s">
        <v>200</v>
      </c>
      <c r="AC20" s="1" t="s">
        <v>201</v>
      </c>
      <c r="AD20" s="1" t="s">
        <v>200</v>
      </c>
      <c r="AE20" s="1"/>
      <c r="AF20"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0" t="s">
        <v>235</v>
      </c>
    </row>
    <row r="21" spans="1:33" ht="43.5" hidden="1" x14ac:dyDescent="0.35">
      <c r="A21" s="1" t="s">
        <v>93</v>
      </c>
      <c r="B21" s="15" t="s">
        <v>94</v>
      </c>
      <c r="C21" t="s">
        <v>2</v>
      </c>
      <c r="E21" s="1" t="b">
        <v>0</v>
      </c>
      <c r="F21" s="1" t="s">
        <v>20</v>
      </c>
      <c r="G21" s="1" t="b">
        <v>1</v>
      </c>
      <c r="J21" s="1"/>
      <c r="K21" s="1"/>
      <c r="L21" s="1" t="b">
        <f>IF(OR(Table1[[#This Row],[Does not regard DAIC-WOZ]]=TRUE,Table1[[#This Row],[Does not use MAE]]=TRUE,Table1[[#This Row],[Does not introduce new model]]=TRUE,Table1[[#This Row],[Not in English]]=TRUE,Table1[[#This Row],[Not retrieved]]=TRUE),TRUE,FALSE)</f>
        <v>1</v>
      </c>
      <c r="M21" s="1"/>
      <c r="N21" s="1"/>
      <c r="O21" s="1"/>
      <c r="P21" s="1"/>
      <c r="Q21" s="1"/>
      <c r="R21" s="1"/>
      <c r="S21" s="1"/>
      <c r="T21" s="1"/>
      <c r="U21" s="1"/>
      <c r="V21" s="1"/>
      <c r="W21" s="1"/>
      <c r="X21" s="1"/>
      <c r="Y21" s="1"/>
      <c r="Z21" s="1"/>
      <c r="AA21" s="1"/>
      <c r="AB21" s="1"/>
      <c r="AC21" s="1"/>
      <c r="AD21" s="1"/>
      <c r="AE21" s="1"/>
      <c r="AF2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22" spans="1:33" ht="29" hidden="1" x14ac:dyDescent="0.35">
      <c r="A22" s="1" t="s">
        <v>95</v>
      </c>
      <c r="B22" s="15" t="s">
        <v>96</v>
      </c>
      <c r="C22" t="s">
        <v>2</v>
      </c>
      <c r="E22" s="1" t="b">
        <v>0</v>
      </c>
      <c r="I22" s="1" t="b">
        <v>1</v>
      </c>
      <c r="J22" s="1"/>
      <c r="K22" s="1"/>
      <c r="L22" s="1" t="b">
        <f>IF(OR(Table1[[#This Row],[Does not regard DAIC-WOZ]]=TRUE,Table1[[#This Row],[Does not use MAE]]=TRUE,Table1[[#This Row],[Does not introduce new model]]=TRUE,Table1[[#This Row],[Not in English]]=TRUE,Table1[[#This Row],[Not retrieved]]=TRUE),TRUE,FALSE)</f>
        <v>1</v>
      </c>
      <c r="M22" s="1"/>
      <c r="N22" s="1"/>
      <c r="O22" s="1"/>
      <c r="P22" s="1"/>
      <c r="Q22" s="1"/>
      <c r="R22" s="1"/>
      <c r="S22" s="1"/>
      <c r="T22" s="1"/>
      <c r="U22" s="1"/>
      <c r="V22" s="1"/>
      <c r="W22" s="1"/>
      <c r="X22" s="1"/>
      <c r="Y22" s="1"/>
      <c r="Z22" s="1"/>
      <c r="AA22" s="1" t="s">
        <v>200</v>
      </c>
      <c r="AB22" s="1" t="s">
        <v>200</v>
      </c>
      <c r="AC22" s="1" t="s">
        <v>201</v>
      </c>
      <c r="AD22" s="1"/>
      <c r="AE22" s="1"/>
      <c r="AF2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23" spans="1:33" ht="43.5" hidden="1" x14ac:dyDescent="0.35">
      <c r="A23" s="1" t="s">
        <v>97</v>
      </c>
      <c r="B23" s="15" t="s">
        <v>98</v>
      </c>
      <c r="C23" t="s">
        <v>2</v>
      </c>
      <c r="E23" s="1" t="b">
        <v>1</v>
      </c>
      <c r="J23" s="1"/>
      <c r="K23" s="1"/>
      <c r="L23" s="1" t="b">
        <f>IF(OR(Table1[[#This Row],[Does not regard DAIC-WOZ]]=TRUE,Table1[[#This Row],[Does not use MAE]]=TRUE,Table1[[#This Row],[Does not introduce new model]]=TRUE,Table1[[#This Row],[Not in English]]=TRUE,Table1[[#This Row],[Not retrieved]]=TRUE),TRUE,FALSE)</f>
        <v>0</v>
      </c>
      <c r="M23" s="1"/>
      <c r="N23" s="1"/>
      <c r="O23" s="1"/>
      <c r="P23" s="1"/>
      <c r="Q23" s="1"/>
      <c r="R23" s="1"/>
      <c r="S23" s="1"/>
      <c r="T23" s="1"/>
      <c r="U23" s="1"/>
      <c r="V23" s="1"/>
      <c r="W23" s="1"/>
      <c r="X23" s="1"/>
      <c r="Y23" s="1"/>
      <c r="Z23" s="1"/>
      <c r="AA23" s="1"/>
      <c r="AB23" s="1"/>
      <c r="AC23" s="1"/>
      <c r="AD23" s="1"/>
      <c r="AE23" s="1"/>
      <c r="AF2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 s="1"/>
    </row>
    <row r="24" spans="1:33" ht="29" hidden="1" x14ac:dyDescent="0.35">
      <c r="A24" s="1" t="s">
        <v>99</v>
      </c>
      <c r="B24" s="15" t="s">
        <v>100</v>
      </c>
      <c r="C24" t="s">
        <v>2</v>
      </c>
      <c r="E24" s="1" t="b">
        <v>1</v>
      </c>
      <c r="J24" s="1"/>
      <c r="K24" s="1"/>
      <c r="L24" s="1" t="b">
        <f>IF(OR(Table1[[#This Row],[Does not regard DAIC-WOZ]]=TRUE,Table1[[#This Row],[Does not use MAE]]=TRUE,Table1[[#This Row],[Does not introduce new model]]=TRUE,Table1[[#This Row],[Not in English]]=TRUE,Table1[[#This Row],[Not retrieved]]=TRUE),TRUE,FALSE)</f>
        <v>0</v>
      </c>
      <c r="M24" s="1"/>
      <c r="N24" s="1"/>
      <c r="O24" s="1"/>
      <c r="P24" s="1"/>
      <c r="Q24" s="1"/>
      <c r="R24" s="1"/>
      <c r="S24" s="1"/>
      <c r="T24" s="1"/>
      <c r="U24" s="1"/>
      <c r="V24" s="1"/>
      <c r="W24" s="1"/>
      <c r="X24" s="1"/>
      <c r="Y24" s="1"/>
      <c r="Z24" s="1"/>
      <c r="AA24" s="1"/>
      <c r="AB24" s="1"/>
      <c r="AC24" s="1"/>
      <c r="AD24" s="1"/>
      <c r="AE24" s="1"/>
      <c r="AF2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25" spans="1:33" ht="43.5" hidden="1" x14ac:dyDescent="0.35">
      <c r="A25" s="1" t="s">
        <v>101</v>
      </c>
      <c r="B25" s="15" t="s">
        <v>102</v>
      </c>
      <c r="C25" t="s">
        <v>2</v>
      </c>
      <c r="E25" s="1" t="b">
        <v>1</v>
      </c>
      <c r="J25" s="1"/>
      <c r="K25" s="1"/>
      <c r="L25" s="1" t="b">
        <f>IF(OR(Table1[[#This Row],[Does not regard DAIC-WOZ]]=TRUE,Table1[[#This Row],[Does not use MAE]]=TRUE,Table1[[#This Row],[Does not introduce new model]]=TRUE,Table1[[#This Row],[Not in English]]=TRUE,Table1[[#This Row],[Not retrieved]]=TRUE),TRUE,FALSE)</f>
        <v>0</v>
      </c>
      <c r="M25" s="1"/>
      <c r="N25" s="1"/>
      <c r="O25" s="1"/>
      <c r="P25" s="1"/>
      <c r="Q25" s="1"/>
      <c r="R25" s="1"/>
      <c r="S25" s="1"/>
      <c r="T25" s="1"/>
      <c r="U25" s="1"/>
      <c r="V25" s="1"/>
      <c r="W25" s="1"/>
      <c r="X25" s="1"/>
      <c r="Y25" s="1"/>
      <c r="Z25" s="1"/>
      <c r="AA25" s="1"/>
      <c r="AB25" s="1"/>
      <c r="AC25" s="1"/>
      <c r="AD25" s="1"/>
      <c r="AE25" s="1"/>
      <c r="AF2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26" spans="1:33" ht="58" x14ac:dyDescent="0.35">
      <c r="A26" s="1" t="s">
        <v>103</v>
      </c>
      <c r="B26" s="15" t="s">
        <v>104</v>
      </c>
      <c r="C26" t="s">
        <v>2</v>
      </c>
      <c r="E26" s="1" t="b">
        <v>0</v>
      </c>
      <c r="J26" s="1"/>
      <c r="K26" s="1"/>
      <c r="L26" s="1" t="b">
        <f>IF(OR(Table1[[#This Row],[Does not regard DAIC-WOZ]]=TRUE,Table1[[#This Row],[Does not use MAE]]=TRUE,Table1[[#This Row],[Does not introduce new model]]=TRUE,Table1[[#This Row],[Not in English]]=TRUE,Table1[[#This Row],[Not retrieved]]=TRUE),TRUE,FALSE)</f>
        <v>0</v>
      </c>
      <c r="M26" s="1" t="s">
        <v>34</v>
      </c>
      <c r="N26" s="1" t="s">
        <v>229</v>
      </c>
      <c r="O26" t="s">
        <v>228</v>
      </c>
      <c r="P26" s="1" t="s">
        <v>206</v>
      </c>
      <c r="Q26" s="1" t="s">
        <v>206</v>
      </c>
      <c r="R26" s="1" t="s">
        <v>34</v>
      </c>
      <c r="S26" s="1"/>
      <c r="T26" s="1" t="s">
        <v>217</v>
      </c>
      <c r="U26" s="1" t="s">
        <v>34</v>
      </c>
      <c r="V26" s="1" t="s">
        <v>34</v>
      </c>
      <c r="W26" s="1" t="s">
        <v>34</v>
      </c>
      <c r="X26" s="1">
        <v>4.99</v>
      </c>
      <c r="Y26" s="1">
        <v>6.27</v>
      </c>
      <c r="Z26" s="1" t="s">
        <v>34</v>
      </c>
      <c r="AA26" s="1" t="s">
        <v>200</v>
      </c>
      <c r="AB26" s="1" t="s">
        <v>201</v>
      </c>
      <c r="AC26" s="1" t="s">
        <v>34</v>
      </c>
      <c r="AD26" s="1" t="s">
        <v>201</v>
      </c>
      <c r="AE26" s="1"/>
      <c r="AF2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6" t="s">
        <v>230</v>
      </c>
    </row>
    <row r="27" spans="1:33" ht="43.5" hidden="1" x14ac:dyDescent="0.35">
      <c r="A27" s="1" t="s">
        <v>105</v>
      </c>
      <c r="B27" s="15" t="s">
        <v>106</v>
      </c>
      <c r="C27" t="s">
        <v>2</v>
      </c>
      <c r="E27" s="1" t="b">
        <v>0</v>
      </c>
      <c r="F27" s="1" t="s">
        <v>20</v>
      </c>
      <c r="G27" s="1" t="b">
        <v>1</v>
      </c>
      <c r="J27" s="1"/>
      <c r="K27" s="1"/>
      <c r="L27" s="1" t="b">
        <f>IF(OR(Table1[[#This Row],[Does not regard DAIC-WOZ]]=TRUE,Table1[[#This Row],[Does not use MAE]]=TRUE,Table1[[#This Row],[Does not introduce new model]]=TRUE,Table1[[#This Row],[Not in English]]=TRUE,Table1[[#This Row],[Not retrieved]]=TRUE),TRUE,FALSE)</f>
        <v>1</v>
      </c>
      <c r="M27" s="1"/>
      <c r="N27" s="1"/>
      <c r="O27" s="1"/>
      <c r="P27" s="1"/>
      <c r="Q27" s="1"/>
      <c r="R27" s="1"/>
      <c r="S27" s="1"/>
      <c r="T27" s="1"/>
      <c r="U27" s="1"/>
      <c r="V27" s="1"/>
      <c r="W27" s="1"/>
      <c r="X27" s="1"/>
      <c r="Y27" s="1"/>
      <c r="Z27" s="1"/>
      <c r="AA27" s="1"/>
      <c r="AB27" s="1"/>
      <c r="AC27" s="1"/>
      <c r="AD27" s="1"/>
      <c r="AE27" s="1"/>
      <c r="AF2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 s="1"/>
    </row>
    <row r="28" spans="1:33" ht="43.5" hidden="1" x14ac:dyDescent="0.35">
      <c r="A28" s="1" t="s">
        <v>107</v>
      </c>
      <c r="B28" s="15" t="s">
        <v>108</v>
      </c>
      <c r="C28" t="s">
        <v>2</v>
      </c>
      <c r="E28" s="1" t="b">
        <v>1</v>
      </c>
      <c r="J28" s="1"/>
      <c r="K28" s="1"/>
      <c r="L28" s="1" t="b">
        <f>IF(OR(Table1[[#This Row],[Does not regard DAIC-WOZ]]=TRUE,Table1[[#This Row],[Does not use MAE]]=TRUE,Table1[[#This Row],[Does not introduce new model]]=TRUE,Table1[[#This Row],[Not in English]]=TRUE,Table1[[#This Row],[Not retrieved]]=TRUE),TRUE,FALSE)</f>
        <v>0</v>
      </c>
      <c r="M28" s="1"/>
      <c r="N28" s="1"/>
      <c r="O28" s="1"/>
      <c r="P28" s="1"/>
      <c r="Q28" s="1"/>
      <c r="R28" s="1"/>
      <c r="S28" s="1"/>
      <c r="T28" s="1"/>
      <c r="U28" s="1"/>
      <c r="V28" s="1"/>
      <c r="W28" s="1"/>
      <c r="X28" s="1"/>
      <c r="Y28" s="1"/>
      <c r="Z28" s="1"/>
      <c r="AA28" s="1"/>
      <c r="AB28" s="1"/>
      <c r="AC28" s="1"/>
      <c r="AD28" s="1"/>
      <c r="AE28" s="1"/>
      <c r="AF2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29" spans="1:33" ht="29" hidden="1" x14ac:dyDescent="0.35">
      <c r="A29" s="1" t="s">
        <v>109</v>
      </c>
      <c r="B29" s="15" t="s">
        <v>110</v>
      </c>
      <c r="C29" t="s">
        <v>2</v>
      </c>
      <c r="E29" s="1" t="b">
        <v>0</v>
      </c>
      <c r="F29" s="1" t="s">
        <v>20</v>
      </c>
      <c r="G29" s="1" t="b">
        <v>1</v>
      </c>
      <c r="J29" s="1"/>
      <c r="K29" s="1"/>
      <c r="L29" s="1" t="b">
        <f>IF(OR(Table1[[#This Row],[Does not regard DAIC-WOZ]]=TRUE,Table1[[#This Row],[Does not use MAE]]=TRUE,Table1[[#This Row],[Does not introduce new model]]=TRUE,Table1[[#This Row],[Not in English]]=TRUE,Table1[[#This Row],[Not retrieved]]=TRUE),TRUE,FALSE)</f>
        <v>1</v>
      </c>
      <c r="M29" s="1"/>
      <c r="N29" s="1"/>
      <c r="O29" s="1"/>
      <c r="P29" s="1"/>
      <c r="Q29" s="1"/>
      <c r="R29" s="1"/>
      <c r="S29" s="1"/>
      <c r="T29" s="1"/>
      <c r="U29" s="1"/>
      <c r="V29" s="1"/>
      <c r="W29" s="1"/>
      <c r="X29" s="1"/>
      <c r="Y29" s="1"/>
      <c r="Z29" s="1"/>
      <c r="AA29" s="1"/>
      <c r="AB29" s="1"/>
      <c r="AC29" s="1"/>
      <c r="AD29" s="1"/>
      <c r="AE29" s="1"/>
      <c r="AF2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 s="1"/>
    </row>
    <row r="30" spans="1:33" ht="29" hidden="1" x14ac:dyDescent="0.35">
      <c r="A30" s="1" t="s">
        <v>111</v>
      </c>
      <c r="B30" s="15" t="s">
        <v>112</v>
      </c>
      <c r="C30" t="s">
        <v>2</v>
      </c>
      <c r="E30" s="1" t="b">
        <v>1</v>
      </c>
      <c r="J30" s="1"/>
      <c r="K30" s="1"/>
      <c r="L30" s="1" t="b">
        <f>IF(OR(Table1[[#This Row],[Does not regard DAIC-WOZ]]=TRUE,Table1[[#This Row],[Does not use MAE]]=TRUE,Table1[[#This Row],[Does not introduce new model]]=TRUE,Table1[[#This Row],[Not in English]]=TRUE,Table1[[#This Row],[Not retrieved]]=TRUE),TRUE,FALSE)</f>
        <v>0</v>
      </c>
      <c r="M30" s="1"/>
      <c r="N30" s="1"/>
      <c r="O30" s="1"/>
      <c r="P30" s="1"/>
      <c r="Q30" s="1"/>
      <c r="R30" s="1"/>
      <c r="S30" s="1"/>
      <c r="T30" s="1"/>
      <c r="U30" s="1"/>
      <c r="V30" s="1"/>
      <c r="W30" s="1"/>
      <c r="X30" s="1"/>
      <c r="Y30" s="1"/>
      <c r="Z30" s="1"/>
      <c r="AA30" s="1"/>
      <c r="AB30" s="1"/>
      <c r="AC30" s="1"/>
      <c r="AD30" s="1"/>
      <c r="AE30" s="1"/>
      <c r="AF3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 s="1"/>
    </row>
    <row r="31" spans="1:33" ht="43.5" hidden="1" x14ac:dyDescent="0.35">
      <c r="A31" s="1" t="s">
        <v>113</v>
      </c>
      <c r="B31" s="15" t="s">
        <v>114</v>
      </c>
      <c r="C31" t="s">
        <v>2</v>
      </c>
      <c r="D31" s="1"/>
      <c r="E31" s="1" t="b">
        <v>1</v>
      </c>
      <c r="J31" s="1"/>
      <c r="K31" s="1"/>
      <c r="L31" s="1" t="b">
        <f>IF(OR(Table1[[#This Row],[Does not regard DAIC-WOZ]]=TRUE,Table1[[#This Row],[Does not use MAE]]=TRUE,Table1[[#This Row],[Does not introduce new model]]=TRUE,Table1[[#This Row],[Not in English]]=TRUE,Table1[[#This Row],[Not retrieved]]=TRUE),TRUE,FALSE)</f>
        <v>0</v>
      </c>
      <c r="M31" s="1"/>
      <c r="N31" s="1"/>
      <c r="O31" s="1"/>
      <c r="P31" s="1"/>
      <c r="Q31" s="1"/>
      <c r="R31" s="1"/>
      <c r="S31" s="1"/>
      <c r="T31" s="1"/>
      <c r="U31" s="1"/>
      <c r="V31" s="1"/>
      <c r="W31" s="1"/>
      <c r="X31" s="1"/>
      <c r="Y31" s="1"/>
      <c r="Z31" s="1"/>
      <c r="AA31" s="1"/>
      <c r="AB31" s="1"/>
      <c r="AC31" s="1"/>
      <c r="AD31" s="1"/>
      <c r="AE31" s="1"/>
      <c r="AF3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 s="1"/>
    </row>
    <row r="32" spans="1:33" ht="43.5" hidden="1" x14ac:dyDescent="0.35">
      <c r="A32" s="1" t="s">
        <v>115</v>
      </c>
      <c r="B32" s="15" t="s">
        <v>116</v>
      </c>
      <c r="C32" t="s">
        <v>2</v>
      </c>
      <c r="E32" s="1" t="b">
        <v>1</v>
      </c>
      <c r="J32" s="1"/>
      <c r="K32" s="1"/>
      <c r="L32" s="1" t="b">
        <f>IF(OR(Table1[[#This Row],[Does not regard DAIC-WOZ]]=TRUE,Table1[[#This Row],[Does not use MAE]]=TRUE,Table1[[#This Row],[Does not introduce new model]]=TRUE,Table1[[#This Row],[Not in English]]=TRUE,Table1[[#This Row],[Not retrieved]]=TRUE),TRUE,FALSE)</f>
        <v>0</v>
      </c>
      <c r="M32" s="1"/>
      <c r="N32" s="1"/>
      <c r="O32" s="1"/>
      <c r="P32" s="1"/>
      <c r="Q32" s="1"/>
      <c r="R32" s="1"/>
      <c r="S32" s="1"/>
      <c r="T32" s="1"/>
      <c r="U32" s="1"/>
      <c r="V32" s="1"/>
      <c r="W32" s="1"/>
      <c r="X32" s="1"/>
      <c r="Y32" s="1"/>
      <c r="Z32" s="1"/>
      <c r="AA32" s="1"/>
      <c r="AB32" s="1"/>
      <c r="AC32" s="1"/>
      <c r="AD32" s="1"/>
      <c r="AE32" s="1"/>
      <c r="AF3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 s="1"/>
    </row>
    <row r="33" spans="1:33" ht="43.5" hidden="1" x14ac:dyDescent="0.35">
      <c r="A33" s="1" t="s">
        <v>117</v>
      </c>
      <c r="B33" s="15" t="s">
        <v>118</v>
      </c>
      <c r="C33" t="s">
        <v>2</v>
      </c>
      <c r="E33" s="1" t="b">
        <v>1</v>
      </c>
      <c r="J33" s="1"/>
      <c r="K33" s="1"/>
      <c r="L33" s="1" t="b">
        <f>IF(OR(Table1[[#This Row],[Does not regard DAIC-WOZ]]=TRUE,Table1[[#This Row],[Does not use MAE]]=TRUE,Table1[[#This Row],[Does not introduce new model]]=TRUE,Table1[[#This Row],[Not in English]]=TRUE,Table1[[#This Row],[Not retrieved]]=TRUE),TRUE,FALSE)</f>
        <v>0</v>
      </c>
      <c r="M33" s="1"/>
      <c r="N33" s="1"/>
      <c r="O33" s="1"/>
      <c r="P33" s="1"/>
      <c r="Q33" s="1"/>
      <c r="R33" s="1"/>
      <c r="S33" s="1"/>
      <c r="T33" s="1"/>
      <c r="U33" s="1"/>
      <c r="V33" s="1"/>
      <c r="W33" s="1"/>
      <c r="X33" s="1"/>
      <c r="Y33" s="1"/>
      <c r="Z33" s="1"/>
      <c r="AA33" s="1"/>
      <c r="AB33" s="1"/>
      <c r="AC33" s="1"/>
      <c r="AD33" s="1"/>
      <c r="AE33" s="1"/>
      <c r="AF3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 s="1"/>
    </row>
    <row r="34" spans="1:33" ht="29" hidden="1" x14ac:dyDescent="0.35">
      <c r="A34" s="1" t="s">
        <v>119</v>
      </c>
      <c r="B34" s="15" t="s">
        <v>120</v>
      </c>
      <c r="C34" t="s">
        <v>2</v>
      </c>
      <c r="E34" s="1" t="b">
        <v>0</v>
      </c>
      <c r="F34" s="1" t="s">
        <v>20</v>
      </c>
      <c r="G34" s="1" t="b">
        <v>1</v>
      </c>
      <c r="J34" s="1"/>
      <c r="K34" s="1"/>
      <c r="L34" s="1" t="b">
        <f>IF(OR(Table1[[#This Row],[Does not regard DAIC-WOZ]]=TRUE,Table1[[#This Row],[Does not use MAE]]=TRUE,Table1[[#This Row],[Does not introduce new model]]=TRUE,Table1[[#This Row],[Not in English]]=TRUE,Table1[[#This Row],[Not retrieved]]=TRUE),TRUE,FALSE)</f>
        <v>1</v>
      </c>
      <c r="M34" s="1"/>
      <c r="N34" s="1"/>
      <c r="O34" s="1"/>
      <c r="P34" s="1"/>
      <c r="Q34" s="1"/>
      <c r="R34" s="1"/>
      <c r="S34" s="1"/>
      <c r="T34" s="1"/>
      <c r="U34" s="1"/>
      <c r="V34" s="1"/>
      <c r="W34" s="1"/>
      <c r="X34" s="1"/>
      <c r="Y34" s="1"/>
      <c r="Z34" s="1"/>
      <c r="AA34" s="1"/>
      <c r="AB34" s="1"/>
      <c r="AC34" s="1"/>
      <c r="AD34" s="1"/>
      <c r="AE34" s="1"/>
      <c r="AF3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 s="1"/>
    </row>
    <row r="35" spans="1:33" ht="29" hidden="1" x14ac:dyDescent="0.35">
      <c r="A35" s="1" t="s">
        <v>121</v>
      </c>
      <c r="B35" s="15" t="s">
        <v>122</v>
      </c>
      <c r="C35" t="s">
        <v>2</v>
      </c>
      <c r="E35" s="1" t="b">
        <v>0</v>
      </c>
      <c r="F35" s="1" t="s">
        <v>20</v>
      </c>
      <c r="G35" s="1" t="b">
        <v>1</v>
      </c>
      <c r="J35" s="1"/>
      <c r="K35" s="1"/>
      <c r="L35" s="1" t="b">
        <f>IF(OR(Table1[[#This Row],[Does not regard DAIC-WOZ]]=TRUE,Table1[[#This Row],[Does not use MAE]]=TRUE,Table1[[#This Row],[Does not introduce new model]]=TRUE,Table1[[#This Row],[Not in English]]=TRUE,Table1[[#This Row],[Not retrieved]]=TRUE),TRUE,FALSE)</f>
        <v>1</v>
      </c>
      <c r="M35" s="1"/>
      <c r="N35" s="1"/>
      <c r="O35" s="1"/>
      <c r="P35" s="1"/>
      <c r="Q35" s="1"/>
      <c r="R35" s="1"/>
      <c r="S35" s="1"/>
      <c r="T35" s="1"/>
      <c r="U35" s="1"/>
      <c r="V35" s="1"/>
      <c r="W35" s="1"/>
      <c r="X35" s="1"/>
      <c r="Y35" s="1"/>
      <c r="Z35" s="1"/>
      <c r="AA35" s="1"/>
      <c r="AB35" s="1"/>
      <c r="AC35" s="1"/>
      <c r="AD35" s="1"/>
      <c r="AE35" s="1"/>
      <c r="AF3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5" s="1"/>
    </row>
    <row r="36" spans="1:33" ht="43.5" hidden="1" x14ac:dyDescent="0.35">
      <c r="A36" s="1" t="s">
        <v>123</v>
      </c>
      <c r="B36" s="15" t="s">
        <v>124</v>
      </c>
      <c r="C36" t="s">
        <v>2</v>
      </c>
      <c r="E36" s="1" t="b">
        <v>0</v>
      </c>
      <c r="F36" s="1" t="s">
        <v>20</v>
      </c>
      <c r="G36" s="1" t="b">
        <v>1</v>
      </c>
      <c r="J36" s="1"/>
      <c r="K36" s="1"/>
      <c r="L36" s="1" t="b">
        <f>IF(OR(Table1[[#This Row],[Does not regard DAIC-WOZ]]=TRUE,Table1[[#This Row],[Does not use MAE]]=TRUE,Table1[[#This Row],[Does not introduce new model]]=TRUE,Table1[[#This Row],[Not in English]]=TRUE,Table1[[#This Row],[Not retrieved]]=TRUE),TRUE,FALSE)</f>
        <v>1</v>
      </c>
      <c r="M36" s="1"/>
      <c r="N36" s="1"/>
      <c r="O36" s="1"/>
      <c r="P36" s="1"/>
      <c r="Q36" s="1"/>
      <c r="R36" s="1"/>
      <c r="S36" s="1"/>
      <c r="T36" s="1"/>
      <c r="U36" s="1"/>
      <c r="V36" s="1"/>
      <c r="W36" s="1"/>
      <c r="X36" s="1"/>
      <c r="Y36" s="1"/>
      <c r="Z36" s="1"/>
      <c r="AA36" s="1"/>
      <c r="AB36" s="1"/>
      <c r="AC36" s="1"/>
      <c r="AD36" s="1"/>
      <c r="AE36" s="1"/>
      <c r="AF3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6" s="1"/>
    </row>
    <row r="37" spans="1:33" ht="29" hidden="1" x14ac:dyDescent="0.35">
      <c r="A37" s="1" t="s">
        <v>125</v>
      </c>
      <c r="B37" s="15" t="s">
        <v>126</v>
      </c>
      <c r="C37" t="s">
        <v>2</v>
      </c>
      <c r="E37" s="1" t="b">
        <v>1</v>
      </c>
      <c r="J37" s="1"/>
      <c r="K37" s="1"/>
      <c r="L37" s="1" t="b">
        <f>IF(OR(Table1[[#This Row],[Does not regard DAIC-WOZ]]=TRUE,Table1[[#This Row],[Does not use MAE]]=TRUE,Table1[[#This Row],[Does not introduce new model]]=TRUE,Table1[[#This Row],[Not in English]]=TRUE,Table1[[#This Row],[Not retrieved]]=TRUE),TRUE,FALSE)</f>
        <v>0</v>
      </c>
      <c r="M37" s="1"/>
      <c r="N37" s="1"/>
      <c r="O37" s="1"/>
      <c r="P37" s="1"/>
      <c r="Q37" s="1"/>
      <c r="R37" s="1"/>
      <c r="S37" s="1"/>
      <c r="T37" s="1"/>
      <c r="U37" s="1"/>
      <c r="V37" s="1"/>
      <c r="W37" s="1"/>
      <c r="X37" s="1"/>
      <c r="Y37" s="1"/>
      <c r="Z37" s="1"/>
      <c r="AA37" s="1"/>
      <c r="AB37" s="1"/>
      <c r="AC37" s="1"/>
      <c r="AD37" s="1"/>
      <c r="AE37" s="1"/>
      <c r="AF3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38" spans="1:33" ht="43.5" hidden="1" x14ac:dyDescent="0.35">
      <c r="A38" s="1" t="s">
        <v>127</v>
      </c>
      <c r="B38" s="15" t="s">
        <v>128</v>
      </c>
      <c r="C38" t="s">
        <v>2</v>
      </c>
      <c r="E38" s="1" t="b">
        <v>0</v>
      </c>
      <c r="F38" s="1" t="s">
        <v>194</v>
      </c>
      <c r="G38" s="1" t="b">
        <v>1</v>
      </c>
      <c r="J38" s="1"/>
      <c r="K38" s="1"/>
      <c r="L38" s="1" t="b">
        <f>IF(OR(Table1[[#This Row],[Does not regard DAIC-WOZ]]=TRUE,Table1[[#This Row],[Does not use MAE]]=TRUE,Table1[[#This Row],[Does not introduce new model]]=TRUE,Table1[[#This Row],[Not in English]]=TRUE,Table1[[#This Row],[Not retrieved]]=TRUE),TRUE,FALSE)</f>
        <v>1</v>
      </c>
      <c r="M38" s="1"/>
      <c r="N38" s="1"/>
      <c r="O38" s="1"/>
      <c r="P38" s="1"/>
      <c r="Q38" s="1"/>
      <c r="R38" s="1"/>
      <c r="S38" s="1"/>
      <c r="T38" s="1"/>
      <c r="U38" s="1"/>
      <c r="V38" s="1"/>
      <c r="W38" s="1"/>
      <c r="X38" s="1"/>
      <c r="Y38" s="1"/>
      <c r="Z38" s="1"/>
      <c r="AA38" s="1"/>
      <c r="AB38" s="1"/>
      <c r="AC38" s="1"/>
      <c r="AD38" s="1"/>
      <c r="AE38" s="1"/>
      <c r="AF3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8" s="1"/>
    </row>
    <row r="39" spans="1:33" ht="43.5" hidden="1" x14ac:dyDescent="0.35">
      <c r="A39" s="1" t="s">
        <v>129</v>
      </c>
      <c r="B39" s="15" t="s">
        <v>130</v>
      </c>
      <c r="C39" t="s">
        <v>2</v>
      </c>
      <c r="E39" s="1" t="b">
        <v>1</v>
      </c>
      <c r="J39" s="1"/>
      <c r="K39" s="1"/>
      <c r="L39" s="1" t="b">
        <f>IF(OR(Table1[[#This Row],[Does not regard DAIC-WOZ]]=TRUE,Table1[[#This Row],[Does not use MAE]]=TRUE,Table1[[#This Row],[Does not introduce new model]]=TRUE,Table1[[#This Row],[Not in English]]=TRUE,Table1[[#This Row],[Not retrieved]]=TRUE),TRUE,FALSE)</f>
        <v>0</v>
      </c>
      <c r="M39" s="1"/>
      <c r="N39" s="1"/>
      <c r="O39" s="1"/>
      <c r="P39" s="1"/>
      <c r="Q39" s="1"/>
      <c r="R39" s="1"/>
      <c r="S39" s="1"/>
      <c r="T39" s="1"/>
      <c r="U39" s="1"/>
      <c r="V39" s="1"/>
      <c r="W39" s="1"/>
      <c r="X39" s="1"/>
      <c r="Y39" s="1"/>
      <c r="Z39" s="1"/>
      <c r="AA39" s="1"/>
      <c r="AB39" s="1"/>
      <c r="AC39" s="1"/>
      <c r="AD39" s="1"/>
      <c r="AE39" s="1"/>
      <c r="AF3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40" spans="1:33" ht="43.5" hidden="1" x14ac:dyDescent="0.35">
      <c r="A40" s="1" t="s">
        <v>131</v>
      </c>
      <c r="B40" s="15" t="s">
        <v>132</v>
      </c>
      <c r="C40" t="s">
        <v>2</v>
      </c>
      <c r="E40" s="1" t="b">
        <v>1</v>
      </c>
      <c r="J40" s="1"/>
      <c r="K40" s="1"/>
      <c r="L40" s="1" t="b">
        <f>IF(OR(Table1[[#This Row],[Does not regard DAIC-WOZ]]=TRUE,Table1[[#This Row],[Does not use MAE]]=TRUE,Table1[[#This Row],[Does not introduce new model]]=TRUE,Table1[[#This Row],[Not in English]]=TRUE,Table1[[#This Row],[Not retrieved]]=TRUE),TRUE,FALSE)</f>
        <v>0</v>
      </c>
      <c r="M40" s="1"/>
      <c r="N40" s="1"/>
      <c r="O40" s="1"/>
      <c r="P40" s="1"/>
      <c r="Q40" s="1"/>
      <c r="R40" s="1"/>
      <c r="S40" s="1"/>
      <c r="T40" s="1"/>
      <c r="U40" s="1"/>
      <c r="V40" s="1"/>
      <c r="W40" s="1"/>
      <c r="X40" s="1"/>
      <c r="Y40" s="1"/>
      <c r="Z40" s="1"/>
      <c r="AA40" s="1"/>
      <c r="AB40" s="1"/>
      <c r="AC40" s="1"/>
      <c r="AD40" s="1"/>
      <c r="AE40" s="1"/>
      <c r="AF4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0" s="1"/>
    </row>
    <row r="41" spans="1:33" ht="43.5" hidden="1" x14ac:dyDescent="0.35">
      <c r="A41" s="1" t="s">
        <v>133</v>
      </c>
      <c r="B41" s="15" t="s">
        <v>134</v>
      </c>
      <c r="C41" t="s">
        <v>2</v>
      </c>
      <c r="E41" s="1" t="b">
        <v>1</v>
      </c>
      <c r="J41" s="1"/>
      <c r="K41" s="1"/>
      <c r="L41" s="1" t="b">
        <f>IF(OR(Table1[[#This Row],[Does not regard DAIC-WOZ]]=TRUE,Table1[[#This Row],[Does not use MAE]]=TRUE,Table1[[#This Row],[Does not introduce new model]]=TRUE,Table1[[#This Row],[Not in English]]=TRUE,Table1[[#This Row],[Not retrieved]]=TRUE),TRUE,FALSE)</f>
        <v>0</v>
      </c>
      <c r="M41" s="1"/>
      <c r="N41" s="1"/>
      <c r="O41" s="1"/>
      <c r="P41" s="1"/>
      <c r="Q41" s="1"/>
      <c r="R41" s="1"/>
      <c r="S41" s="1"/>
      <c r="T41" s="1"/>
      <c r="U41" s="1"/>
      <c r="V41" s="1"/>
      <c r="W41" s="1"/>
      <c r="X41" s="1"/>
      <c r="Y41" s="1"/>
      <c r="Z41" s="1"/>
      <c r="AA41" s="1"/>
      <c r="AB41" s="1"/>
      <c r="AC41" s="1"/>
      <c r="AD41" s="1"/>
      <c r="AE41" s="1"/>
      <c r="AF4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1" s="1"/>
    </row>
    <row r="42" spans="1:33" ht="29" hidden="1" x14ac:dyDescent="0.35">
      <c r="A42" s="1" t="s">
        <v>135</v>
      </c>
      <c r="B42" s="15" t="s">
        <v>136</v>
      </c>
      <c r="C42" t="s">
        <v>2</v>
      </c>
      <c r="E42" s="1" t="b">
        <v>0</v>
      </c>
      <c r="F42" s="1" t="s">
        <v>195</v>
      </c>
      <c r="G42" s="1" t="b">
        <v>1</v>
      </c>
      <c r="J42" s="1"/>
      <c r="K42" s="1"/>
      <c r="L42" s="1" t="b">
        <f>IF(OR(Table1[[#This Row],[Does not regard DAIC-WOZ]]=TRUE,Table1[[#This Row],[Does not use MAE]]=TRUE,Table1[[#This Row],[Does not introduce new model]]=TRUE,Table1[[#This Row],[Not in English]]=TRUE,Table1[[#This Row],[Not retrieved]]=TRUE),TRUE,FALSE)</f>
        <v>1</v>
      </c>
      <c r="M42" s="1"/>
      <c r="N42" s="1"/>
      <c r="O42" s="1"/>
      <c r="P42" s="1"/>
      <c r="Q42" s="1"/>
      <c r="R42" s="1"/>
      <c r="S42" s="1"/>
      <c r="T42" s="1"/>
      <c r="U42" s="1"/>
      <c r="V42" s="1"/>
      <c r="W42" s="1"/>
      <c r="X42" s="1"/>
      <c r="Y42" s="1"/>
      <c r="Z42" s="1"/>
      <c r="AA42" s="1"/>
      <c r="AB42" s="1"/>
      <c r="AC42" s="1"/>
      <c r="AD42" s="1"/>
      <c r="AE42" s="1"/>
      <c r="AF4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2" s="1"/>
    </row>
    <row r="43" spans="1:33" ht="116" x14ac:dyDescent="0.35">
      <c r="A43" s="1" t="s">
        <v>137</v>
      </c>
      <c r="B43" s="15" t="s">
        <v>138</v>
      </c>
      <c r="C43" t="s">
        <v>2</v>
      </c>
      <c r="E43" s="1" t="b">
        <v>0</v>
      </c>
      <c r="J43" s="1"/>
      <c r="K43" s="1"/>
      <c r="L43" s="1" t="b">
        <f>IF(OR(Table1[[#This Row],[Does not regard DAIC-WOZ]]=TRUE,Table1[[#This Row],[Does not use MAE]]=TRUE,Table1[[#This Row],[Does not introduce new model]]=TRUE,Table1[[#This Row],[Not in English]]=TRUE,Table1[[#This Row],[Not retrieved]]=TRUE),TRUE,FALSE)</f>
        <v>0</v>
      </c>
      <c r="M43" s="1" t="s">
        <v>231</v>
      </c>
      <c r="N43" s="1" t="s">
        <v>210</v>
      </c>
      <c r="O43" s="1" t="s">
        <v>203</v>
      </c>
      <c r="P43" s="1" t="s">
        <v>206</v>
      </c>
      <c r="Q43" s="1" t="s">
        <v>34</v>
      </c>
      <c r="R43" s="1" t="s">
        <v>34</v>
      </c>
      <c r="S43" s="1"/>
      <c r="T43" s="1" t="s">
        <v>222</v>
      </c>
      <c r="U43" s="1" t="s">
        <v>34</v>
      </c>
      <c r="V43" s="1" t="s">
        <v>34</v>
      </c>
      <c r="W43" s="1" t="s">
        <v>34</v>
      </c>
      <c r="X43" s="1">
        <v>4.79</v>
      </c>
      <c r="Y43" s="1">
        <v>5.81</v>
      </c>
      <c r="Z43" s="1" t="s">
        <v>34</v>
      </c>
      <c r="AA43" s="1" t="s">
        <v>200</v>
      </c>
      <c r="AB43" s="1" t="s">
        <v>200</v>
      </c>
      <c r="AC43" s="1" t="s">
        <v>201</v>
      </c>
      <c r="AD43" s="1" t="s">
        <v>200</v>
      </c>
      <c r="AE43" s="1"/>
      <c r="AF43"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43" t="s">
        <v>232</v>
      </c>
    </row>
    <row r="44" spans="1:33" ht="43.5" hidden="1" x14ac:dyDescent="0.35">
      <c r="A44" s="1" t="s">
        <v>139</v>
      </c>
      <c r="B44" s="15" t="s">
        <v>140</v>
      </c>
      <c r="C44" t="s">
        <v>2</v>
      </c>
      <c r="E44" s="1" t="b">
        <v>1</v>
      </c>
      <c r="J44" s="1"/>
      <c r="K44" s="1"/>
      <c r="L44" s="1" t="b">
        <f>IF(OR(Table1[[#This Row],[Does not regard DAIC-WOZ]]=TRUE,Table1[[#This Row],[Does not use MAE]]=TRUE,Table1[[#This Row],[Does not introduce new model]]=TRUE,Table1[[#This Row],[Not in English]]=TRUE,Table1[[#This Row],[Not retrieved]]=TRUE),TRUE,FALSE)</f>
        <v>0</v>
      </c>
      <c r="M44" s="1"/>
      <c r="N44" s="1"/>
      <c r="O44" s="1"/>
      <c r="P44" s="1"/>
      <c r="Q44" s="1"/>
      <c r="R44" s="1"/>
      <c r="S44" s="1"/>
      <c r="T44" s="1"/>
      <c r="U44" s="1"/>
      <c r="V44" s="1"/>
      <c r="W44" s="1"/>
      <c r="X44" s="1"/>
      <c r="Y44" s="1"/>
      <c r="Z44" s="1"/>
      <c r="AA44" s="1"/>
      <c r="AB44" s="1"/>
      <c r="AC44" s="1"/>
      <c r="AD44" s="1"/>
      <c r="AE44" s="1"/>
      <c r="AF4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45" spans="1:33" ht="43.5" hidden="1" x14ac:dyDescent="0.35">
      <c r="A45" s="1" t="s">
        <v>141</v>
      </c>
      <c r="B45" s="15" t="s">
        <v>142</v>
      </c>
      <c r="C45" t="s">
        <v>2</v>
      </c>
      <c r="E45" s="1" t="b">
        <v>1</v>
      </c>
      <c r="J45" s="1"/>
      <c r="K45" s="1"/>
      <c r="L45" s="1" t="b">
        <f>IF(OR(Table1[[#This Row],[Does not regard DAIC-WOZ]]=TRUE,Table1[[#This Row],[Does not use MAE]]=TRUE,Table1[[#This Row],[Does not introduce new model]]=TRUE,Table1[[#This Row],[Not in English]]=TRUE,Table1[[#This Row],[Not retrieved]]=TRUE),TRUE,FALSE)</f>
        <v>0</v>
      </c>
      <c r="M45" s="1"/>
      <c r="N45" s="1"/>
      <c r="O45" s="1"/>
      <c r="P45" s="1"/>
      <c r="Q45" s="1"/>
      <c r="R45" s="1"/>
      <c r="S45" s="1"/>
      <c r="T45" s="1"/>
      <c r="U45" s="1"/>
      <c r="V45" s="1"/>
      <c r="W45" s="1"/>
      <c r="X45" s="1"/>
      <c r="Y45" s="1"/>
      <c r="Z45" s="1"/>
      <c r="AA45" s="1"/>
      <c r="AB45" s="1"/>
      <c r="AC45" s="1"/>
      <c r="AD45" s="1"/>
      <c r="AE45" s="1"/>
      <c r="AF4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5" s="1"/>
    </row>
    <row r="46" spans="1:33" ht="29" hidden="1" x14ac:dyDescent="0.35">
      <c r="A46" s="1" t="s">
        <v>143</v>
      </c>
      <c r="B46" s="15" t="s">
        <v>144</v>
      </c>
      <c r="C46" t="s">
        <v>2</v>
      </c>
      <c r="E46" s="1" t="b">
        <v>1</v>
      </c>
      <c r="J46" s="1"/>
      <c r="K46" s="1"/>
      <c r="L46" s="1" t="b">
        <f>IF(OR(Table1[[#This Row],[Does not regard DAIC-WOZ]]=TRUE,Table1[[#This Row],[Does not use MAE]]=TRUE,Table1[[#This Row],[Does not introduce new model]]=TRUE,Table1[[#This Row],[Not in English]]=TRUE,Table1[[#This Row],[Not retrieved]]=TRUE),TRUE,FALSE)</f>
        <v>0</v>
      </c>
      <c r="M46" s="1"/>
      <c r="N46" s="1"/>
      <c r="O46" s="1"/>
      <c r="P46" s="1"/>
      <c r="Q46" s="1"/>
      <c r="R46" s="1"/>
      <c r="S46" s="1"/>
      <c r="T46" s="1"/>
      <c r="U46" s="1"/>
      <c r="V46" s="1"/>
      <c r="W46" s="1"/>
      <c r="X46" s="1"/>
      <c r="Y46" s="1"/>
      <c r="Z46" s="1"/>
      <c r="AA46" s="1"/>
      <c r="AB46" s="1"/>
      <c r="AC46" s="1"/>
      <c r="AD46" s="1"/>
      <c r="AE46" s="1"/>
      <c r="AF4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6" s="1"/>
    </row>
    <row r="47" spans="1:33" ht="43.5" hidden="1" x14ac:dyDescent="0.35">
      <c r="A47" s="1" t="s">
        <v>145</v>
      </c>
      <c r="B47" s="15" t="s">
        <v>146</v>
      </c>
      <c r="C47" t="s">
        <v>2</v>
      </c>
      <c r="E47" s="1" t="b">
        <v>1</v>
      </c>
      <c r="J47" s="1"/>
      <c r="K47" s="1"/>
      <c r="L47" s="1" t="b">
        <f>IF(OR(Table1[[#This Row],[Does not regard DAIC-WOZ]]=TRUE,Table1[[#This Row],[Does not use MAE]]=TRUE,Table1[[#This Row],[Does not introduce new model]]=TRUE,Table1[[#This Row],[Not in English]]=TRUE,Table1[[#This Row],[Not retrieved]]=TRUE),TRUE,FALSE)</f>
        <v>0</v>
      </c>
      <c r="M47" s="1"/>
      <c r="N47" s="1"/>
      <c r="O47" s="1"/>
      <c r="P47" s="1"/>
      <c r="Q47" s="1"/>
      <c r="R47" s="1"/>
      <c r="S47" s="1"/>
      <c r="T47" s="1"/>
      <c r="U47" s="1"/>
      <c r="V47" s="1"/>
      <c r="W47" s="1"/>
      <c r="X47" s="1"/>
      <c r="Y47" s="1"/>
      <c r="Z47" s="1"/>
      <c r="AA47" s="1"/>
      <c r="AB47" s="1"/>
      <c r="AC47" s="1"/>
      <c r="AD47" s="1"/>
      <c r="AE47" s="1"/>
      <c r="AF4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7" s="1"/>
    </row>
    <row r="48" spans="1:33" ht="43.5" hidden="1" x14ac:dyDescent="0.35">
      <c r="A48" s="1" t="s">
        <v>147</v>
      </c>
      <c r="B48" s="15" t="s">
        <v>148</v>
      </c>
      <c r="C48" t="s">
        <v>2</v>
      </c>
      <c r="E48" s="1" t="b">
        <v>0</v>
      </c>
      <c r="F48" s="1" t="s">
        <v>196</v>
      </c>
      <c r="G48" s="1" t="b">
        <v>1</v>
      </c>
      <c r="J48" s="1"/>
      <c r="K48" s="1"/>
      <c r="L48" s="1" t="b">
        <f>IF(OR(Table1[[#This Row],[Does not regard DAIC-WOZ]]=TRUE,Table1[[#This Row],[Does not use MAE]]=TRUE,Table1[[#This Row],[Does not introduce new model]]=TRUE,Table1[[#This Row],[Not in English]]=TRUE,Table1[[#This Row],[Not retrieved]]=TRUE),TRUE,FALSE)</f>
        <v>1</v>
      </c>
      <c r="M48" s="1"/>
      <c r="N48" s="1"/>
      <c r="O48" s="1"/>
      <c r="P48" s="1"/>
      <c r="Q48" s="1"/>
      <c r="R48" s="1"/>
      <c r="S48" s="1"/>
      <c r="T48" s="1"/>
      <c r="U48" s="1"/>
      <c r="V48" s="1"/>
      <c r="W48" s="1"/>
      <c r="X48" s="1"/>
      <c r="Y48" s="1"/>
      <c r="Z48" s="1"/>
      <c r="AA48" s="1"/>
      <c r="AB48" s="1"/>
      <c r="AC48" s="1"/>
      <c r="AD48" s="1"/>
      <c r="AE48" s="1"/>
      <c r="AF4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8" s="1"/>
    </row>
    <row r="49" spans="1:33" ht="58" hidden="1" x14ac:dyDescent="0.35">
      <c r="A49" s="1" t="s">
        <v>149</v>
      </c>
      <c r="B49" s="15" t="s">
        <v>150</v>
      </c>
      <c r="C49" t="s">
        <v>2</v>
      </c>
      <c r="E49" s="1" t="b">
        <v>1</v>
      </c>
      <c r="J49" s="1"/>
      <c r="K49" s="1"/>
      <c r="L49" s="1" t="b">
        <f>IF(OR(Table1[[#This Row],[Does not regard DAIC-WOZ]]=TRUE,Table1[[#This Row],[Does not use MAE]]=TRUE,Table1[[#This Row],[Does not introduce new model]]=TRUE,Table1[[#This Row],[Not in English]]=TRUE,Table1[[#This Row],[Not retrieved]]=TRUE),TRUE,FALSE)</f>
        <v>0</v>
      </c>
      <c r="M49" s="1"/>
      <c r="N49" s="1"/>
      <c r="O49" s="1"/>
      <c r="P49" s="1"/>
      <c r="Q49" s="1"/>
      <c r="R49" s="1"/>
      <c r="S49" s="1"/>
      <c r="T49" s="1"/>
      <c r="U49" s="1"/>
      <c r="V49" s="1"/>
      <c r="W49" s="1"/>
      <c r="X49" s="1"/>
      <c r="Y49" s="1"/>
      <c r="Z49" s="1"/>
      <c r="AA49" s="1"/>
      <c r="AB49" s="1"/>
      <c r="AC49" s="1"/>
      <c r="AD49" s="1"/>
      <c r="AE49" s="1"/>
      <c r="AF4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9" s="1"/>
    </row>
    <row r="50" spans="1:33" ht="29" hidden="1" x14ac:dyDescent="0.35">
      <c r="A50" s="1" t="s">
        <v>151</v>
      </c>
      <c r="B50" s="15" t="s">
        <v>152</v>
      </c>
      <c r="C50" t="s">
        <v>2</v>
      </c>
      <c r="E50" s="1" t="b">
        <v>1</v>
      </c>
      <c r="J50" s="1"/>
      <c r="K50" s="1"/>
      <c r="L50" s="1" t="b">
        <f>IF(OR(Table1[[#This Row],[Does not regard DAIC-WOZ]]=TRUE,Table1[[#This Row],[Does not use MAE]]=TRUE,Table1[[#This Row],[Does not introduce new model]]=TRUE,Table1[[#This Row],[Not in English]]=TRUE,Table1[[#This Row],[Not retrieved]]=TRUE),TRUE,FALSE)</f>
        <v>0</v>
      </c>
      <c r="M50" s="1"/>
      <c r="N50" s="1"/>
      <c r="O50" s="1"/>
      <c r="P50" s="1"/>
      <c r="Q50" s="1"/>
      <c r="R50" s="1"/>
      <c r="S50" s="1"/>
      <c r="T50" s="1"/>
      <c r="U50" s="1"/>
      <c r="V50" s="1"/>
      <c r="W50" s="1"/>
      <c r="X50" s="1"/>
      <c r="Y50" s="1"/>
      <c r="Z50" s="1"/>
      <c r="AA50" s="1"/>
      <c r="AB50" s="1"/>
      <c r="AC50" s="1"/>
      <c r="AD50" s="1"/>
      <c r="AE50" s="1"/>
      <c r="AF5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51" spans="1:33" ht="43.5" hidden="1" x14ac:dyDescent="0.35">
      <c r="A51" s="1" t="s">
        <v>153</v>
      </c>
      <c r="B51" s="15" t="s">
        <v>3</v>
      </c>
      <c r="C51" t="s">
        <v>2</v>
      </c>
      <c r="E51" s="1" t="b">
        <v>1</v>
      </c>
      <c r="J51" s="1"/>
      <c r="K51" s="1"/>
      <c r="L51" s="1" t="b">
        <f>IF(OR(Table1[[#This Row],[Does not regard DAIC-WOZ]]=TRUE,Table1[[#This Row],[Does not use MAE]]=TRUE,Table1[[#This Row],[Does not introduce new model]]=TRUE,Table1[[#This Row],[Not in English]]=TRUE,Table1[[#This Row],[Not retrieved]]=TRUE),TRUE,FALSE)</f>
        <v>0</v>
      </c>
      <c r="M51" s="1"/>
      <c r="N51" s="1"/>
      <c r="O51" s="1"/>
      <c r="P51" s="1"/>
      <c r="Q51" s="1"/>
      <c r="R51" s="1"/>
      <c r="S51" s="1"/>
      <c r="T51" s="1"/>
      <c r="U51" s="1"/>
      <c r="V51" s="1"/>
      <c r="W51" s="1"/>
      <c r="X51" s="1"/>
      <c r="Y51" s="1"/>
      <c r="Z51" s="1"/>
      <c r="AA51" s="1"/>
      <c r="AB51" s="1"/>
      <c r="AC51" s="1"/>
      <c r="AD51" s="1"/>
      <c r="AE51" s="1"/>
      <c r="AF5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52" spans="1:33" ht="43.5" hidden="1" x14ac:dyDescent="0.35">
      <c r="A52" s="1" t="s">
        <v>154</v>
      </c>
      <c r="B52" s="15" t="s">
        <v>155</v>
      </c>
      <c r="C52" t="s">
        <v>156</v>
      </c>
      <c r="E52" s="1" t="b">
        <v>0</v>
      </c>
      <c r="F52" s="1" t="s">
        <v>197</v>
      </c>
      <c r="G52" s="1" t="b">
        <v>1</v>
      </c>
      <c r="J52" s="1"/>
      <c r="K52" s="1"/>
      <c r="L52" s="1" t="b">
        <f>IF(OR(Table1[[#This Row],[Does not regard DAIC-WOZ]]=TRUE,Table1[[#This Row],[Does not use MAE]]=TRUE,Table1[[#This Row],[Does not introduce new model]]=TRUE,Table1[[#This Row],[Not in English]]=TRUE,Table1[[#This Row],[Not retrieved]]=TRUE),TRUE,FALSE)</f>
        <v>1</v>
      </c>
      <c r="M52" s="1"/>
      <c r="N52" s="1"/>
      <c r="O52" s="1"/>
      <c r="P52" s="1"/>
      <c r="Q52" s="1"/>
      <c r="R52" s="1"/>
      <c r="S52" s="1"/>
      <c r="T52" s="1"/>
      <c r="U52" s="1"/>
      <c r="V52" s="1"/>
      <c r="W52" s="1"/>
      <c r="X52" s="1"/>
      <c r="Y52" s="1"/>
      <c r="Z52" s="1"/>
      <c r="AA52" s="1"/>
      <c r="AB52" s="1"/>
      <c r="AC52" s="1"/>
      <c r="AD52" s="1"/>
      <c r="AE52" s="1"/>
      <c r="AF5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2" s="1"/>
    </row>
    <row r="53" spans="1:33" ht="58" hidden="1" x14ac:dyDescent="0.35">
      <c r="A53" s="1" t="s">
        <v>157</v>
      </c>
      <c r="B53" s="15" t="s">
        <v>158</v>
      </c>
      <c r="C53" t="s">
        <v>156</v>
      </c>
      <c r="E53" s="1" t="b">
        <v>1</v>
      </c>
      <c r="J53" s="1"/>
      <c r="K53" s="1"/>
      <c r="L53" s="1" t="b">
        <f>IF(OR(Table1[[#This Row],[Does not regard DAIC-WOZ]]=TRUE,Table1[[#This Row],[Does not use MAE]]=TRUE,Table1[[#This Row],[Does not introduce new model]]=TRUE,Table1[[#This Row],[Not in English]]=TRUE,Table1[[#This Row],[Not retrieved]]=TRUE),TRUE,FALSE)</f>
        <v>0</v>
      </c>
      <c r="M53" s="1"/>
      <c r="N53" s="1"/>
      <c r="O53" s="1"/>
      <c r="P53" s="1"/>
      <c r="Q53" s="1"/>
      <c r="R53" s="1"/>
      <c r="S53" s="1"/>
      <c r="T53" s="1"/>
      <c r="U53" s="1"/>
      <c r="V53" s="1"/>
      <c r="W53" s="1"/>
      <c r="X53" s="1"/>
      <c r="Y53" s="1"/>
      <c r="Z53" s="1"/>
      <c r="AA53" s="1"/>
      <c r="AB53" s="1"/>
      <c r="AC53" s="1"/>
      <c r="AD53" s="1"/>
      <c r="AE53" s="1"/>
      <c r="AF5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3" s="1"/>
    </row>
    <row r="54" spans="1:33" ht="58" hidden="1" x14ac:dyDescent="0.35">
      <c r="A54" s="1" t="s">
        <v>159</v>
      </c>
      <c r="B54" s="15" t="s">
        <v>160</v>
      </c>
      <c r="C54" t="s">
        <v>156</v>
      </c>
      <c r="E54" s="1" t="b">
        <v>0</v>
      </c>
      <c r="F54" s="1" t="s">
        <v>198</v>
      </c>
      <c r="G54" s="1" t="b">
        <v>1</v>
      </c>
      <c r="J54" s="1"/>
      <c r="K54" s="1"/>
      <c r="L54" s="1" t="b">
        <f>IF(OR(Table1[[#This Row],[Does not regard DAIC-WOZ]]=TRUE,Table1[[#This Row],[Does not use MAE]]=TRUE,Table1[[#This Row],[Does not introduce new model]]=TRUE,Table1[[#This Row],[Not in English]]=TRUE,Table1[[#This Row],[Not retrieved]]=TRUE),TRUE,FALSE)</f>
        <v>1</v>
      </c>
      <c r="M54" s="1"/>
      <c r="N54" s="1"/>
      <c r="O54" s="1"/>
      <c r="P54" s="1"/>
      <c r="Q54" s="1"/>
      <c r="R54" s="1"/>
      <c r="S54" s="1"/>
      <c r="T54" s="1"/>
      <c r="U54" s="1"/>
      <c r="V54" s="1"/>
      <c r="W54" s="1"/>
      <c r="X54" s="1"/>
      <c r="Y54" s="1"/>
      <c r="Z54" s="1"/>
      <c r="AA54" s="1"/>
      <c r="AB54" s="1"/>
      <c r="AC54" s="1"/>
      <c r="AD54" s="1"/>
      <c r="AE54" s="1"/>
      <c r="AF5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4" s="1"/>
    </row>
    <row r="55" spans="1:33" ht="43.5" hidden="1" x14ac:dyDescent="0.35">
      <c r="A55" s="1" t="s">
        <v>161</v>
      </c>
      <c r="B55" s="15" t="s">
        <v>162</v>
      </c>
      <c r="C55" t="s">
        <v>156</v>
      </c>
      <c r="E55" s="1" t="b">
        <v>0</v>
      </c>
      <c r="F55" s="1" t="s">
        <v>199</v>
      </c>
      <c r="G55" s="1" t="b">
        <v>1</v>
      </c>
      <c r="J55" s="1"/>
      <c r="K55" s="1"/>
      <c r="L55" s="1" t="b">
        <f>IF(OR(Table1[[#This Row],[Does not regard DAIC-WOZ]]=TRUE,Table1[[#This Row],[Does not use MAE]]=TRUE,Table1[[#This Row],[Does not introduce new model]]=TRUE,Table1[[#This Row],[Not in English]]=TRUE,Table1[[#This Row],[Not retrieved]]=TRUE),TRUE,FALSE)</f>
        <v>1</v>
      </c>
      <c r="M55" s="1"/>
      <c r="N55" s="1"/>
      <c r="O55" s="1"/>
      <c r="P55" s="1"/>
      <c r="Q55" s="1"/>
      <c r="R55" s="1"/>
      <c r="S55" s="1"/>
      <c r="T55" s="1"/>
      <c r="U55" s="1"/>
      <c r="V55" s="1"/>
      <c r="W55" s="1"/>
      <c r="X55" s="1"/>
      <c r="Y55" s="1"/>
      <c r="Z55" s="1"/>
      <c r="AA55" s="1"/>
      <c r="AB55" s="1"/>
      <c r="AC55" s="1"/>
      <c r="AD55" s="1"/>
      <c r="AE55" s="1"/>
      <c r="AF5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5" s="1"/>
    </row>
    <row r="56" spans="1:33" ht="101.5" x14ac:dyDescent="0.35">
      <c r="A56" s="1" t="s">
        <v>163</v>
      </c>
      <c r="B56" s="15" t="s">
        <v>164</v>
      </c>
      <c r="C56" t="s">
        <v>0</v>
      </c>
      <c r="E56" s="1" t="b">
        <v>0</v>
      </c>
      <c r="J56" s="1"/>
      <c r="K56" s="1"/>
      <c r="L56" s="1" t="b">
        <f>IF(OR(Table1[[#This Row],[Does not regard DAIC-WOZ]]=TRUE,Table1[[#This Row],[Does not use MAE]]=TRUE,Table1[[#This Row],[Does not introduce new model]]=TRUE,Table1[[#This Row],[Not in English]]=TRUE,Table1[[#This Row],[Not retrieved]]=TRUE),TRUE,FALSE)</f>
        <v>0</v>
      </c>
      <c r="M56" s="1" t="s">
        <v>34</v>
      </c>
      <c r="N56" s="1" t="s">
        <v>210</v>
      </c>
      <c r="O56" s="1" t="s">
        <v>237</v>
      </c>
      <c r="P56" s="1" t="s">
        <v>34</v>
      </c>
      <c r="Q56" s="1" t="s">
        <v>206</v>
      </c>
      <c r="R56" s="1" t="s">
        <v>34</v>
      </c>
      <c r="S56" s="1"/>
      <c r="T56" s="1" t="s">
        <v>236</v>
      </c>
      <c r="U56" s="1" t="s">
        <v>34</v>
      </c>
      <c r="V56" s="1" t="s">
        <v>34</v>
      </c>
      <c r="W56" s="1" t="s">
        <v>34</v>
      </c>
      <c r="X56" s="1" t="s">
        <v>34</v>
      </c>
      <c r="Y56" s="1" t="s">
        <v>34</v>
      </c>
      <c r="Z56" s="1" t="s">
        <v>34</v>
      </c>
      <c r="AA56" s="1" t="s">
        <v>201</v>
      </c>
      <c r="AB56" s="1" t="s">
        <v>200</v>
      </c>
      <c r="AC56" s="1" t="s">
        <v>34</v>
      </c>
      <c r="AD56" s="1" t="s">
        <v>200</v>
      </c>
      <c r="AE56" s="1"/>
      <c r="AF5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56" t="s">
        <v>238</v>
      </c>
    </row>
    <row r="57" spans="1:33" ht="58" hidden="1" x14ac:dyDescent="0.35">
      <c r="A57" s="1" t="s">
        <v>165</v>
      </c>
      <c r="B57" s="15" t="s">
        <v>166</v>
      </c>
      <c r="C57" t="s">
        <v>167</v>
      </c>
      <c r="E57" s="1" t="b">
        <v>1</v>
      </c>
      <c r="J57" s="1"/>
      <c r="K57" s="1"/>
      <c r="L57" s="1" t="b">
        <f>IF(OR(Table1[[#This Row],[Does not regard DAIC-WOZ]]=TRUE,Table1[[#This Row],[Does not use MAE]]=TRUE,Table1[[#This Row],[Does not introduce new model]]=TRUE,Table1[[#This Row],[Not in English]]=TRUE,Table1[[#This Row],[Not retrieved]]=TRUE),TRUE,FALSE)</f>
        <v>0</v>
      </c>
      <c r="M57" s="1"/>
      <c r="N57" s="1"/>
      <c r="O57" s="1"/>
      <c r="P57" s="1"/>
      <c r="Q57" s="1"/>
      <c r="R57" s="1"/>
      <c r="S57" s="1"/>
      <c r="T57" s="1"/>
      <c r="U57" s="1"/>
      <c r="V57" s="1"/>
      <c r="W57" s="1"/>
      <c r="X57" s="1"/>
      <c r="Y57" s="1"/>
      <c r="Z57" s="1"/>
      <c r="AA57" s="1"/>
      <c r="AB57" s="1"/>
      <c r="AC57" s="1"/>
      <c r="AD57" s="1"/>
      <c r="AE57" s="1"/>
      <c r="AF5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7" s="1"/>
    </row>
    <row r="58" spans="1:33" ht="29" hidden="1" x14ac:dyDescent="0.35">
      <c r="A58" s="1" t="s">
        <v>168</v>
      </c>
      <c r="B58" s="15" t="s">
        <v>169</v>
      </c>
      <c r="C58" t="s">
        <v>167</v>
      </c>
      <c r="E58" s="1" t="b">
        <v>1</v>
      </c>
      <c r="J58" s="1"/>
      <c r="K58" s="1"/>
      <c r="L58" s="1" t="b">
        <f>IF(OR(Table1[[#This Row],[Does not regard DAIC-WOZ]]=TRUE,Table1[[#This Row],[Does not use MAE]]=TRUE,Table1[[#This Row],[Does not introduce new model]]=TRUE,Table1[[#This Row],[Not in English]]=TRUE,Table1[[#This Row],[Not retrieved]]=TRUE),TRUE,FALSE)</f>
        <v>0</v>
      </c>
      <c r="M58" s="1"/>
      <c r="N58" s="1"/>
      <c r="O58" s="1"/>
      <c r="P58" s="1"/>
      <c r="Q58" s="1"/>
      <c r="R58" s="1"/>
      <c r="S58" s="1"/>
      <c r="T58" s="1"/>
      <c r="U58" s="1"/>
      <c r="V58" s="1"/>
      <c r="W58" s="1"/>
      <c r="X58" s="1"/>
      <c r="Y58" s="1"/>
      <c r="Z58" s="1"/>
      <c r="AA58" s="1"/>
      <c r="AB58" s="1"/>
      <c r="AC58" s="1"/>
      <c r="AD58" s="1"/>
      <c r="AE58" s="1"/>
      <c r="AF5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59" spans="1:33" ht="29" hidden="1" x14ac:dyDescent="0.35">
      <c r="A59" s="1" t="s">
        <v>170</v>
      </c>
      <c r="B59" s="15" t="s">
        <v>171</v>
      </c>
      <c r="C59" t="s">
        <v>167</v>
      </c>
      <c r="E59" s="1" t="b">
        <v>1</v>
      </c>
      <c r="J59" s="1"/>
      <c r="K59" s="1"/>
      <c r="L59" s="1" t="b">
        <f>IF(OR(Table1[[#This Row],[Does not regard DAIC-WOZ]]=TRUE,Table1[[#This Row],[Does not use MAE]]=TRUE,Table1[[#This Row],[Does not introduce new model]]=TRUE,Table1[[#This Row],[Not in English]]=TRUE,Table1[[#This Row],[Not retrieved]]=TRUE),TRUE,FALSE)</f>
        <v>0</v>
      </c>
      <c r="M59" s="1"/>
      <c r="N59" s="1"/>
      <c r="O59" s="1"/>
      <c r="P59" s="1"/>
      <c r="Q59" s="1"/>
      <c r="R59" s="1"/>
      <c r="S59" s="1"/>
      <c r="T59" s="1"/>
      <c r="U59" s="1"/>
      <c r="V59" s="1"/>
      <c r="W59" s="1"/>
      <c r="X59" s="1"/>
      <c r="Y59" s="1"/>
      <c r="Z59" s="1"/>
      <c r="AA59" s="1"/>
      <c r="AB59" s="1"/>
      <c r="AC59" s="1"/>
      <c r="AD59" s="1"/>
      <c r="AE59" s="1"/>
      <c r="AF5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60" spans="1:33" ht="43.5" hidden="1" x14ac:dyDescent="0.35">
      <c r="A60" s="1" t="s">
        <v>172</v>
      </c>
      <c r="B60" s="15" t="s">
        <v>173</v>
      </c>
      <c r="C60" t="s">
        <v>167</v>
      </c>
      <c r="E60" s="1" t="b">
        <v>1</v>
      </c>
      <c r="J60" s="1"/>
      <c r="K60" s="1"/>
      <c r="L60" s="1" t="b">
        <f>IF(OR(Table1[[#This Row],[Does not regard DAIC-WOZ]]=TRUE,Table1[[#This Row],[Does not use MAE]]=TRUE,Table1[[#This Row],[Does not introduce new model]]=TRUE,Table1[[#This Row],[Not in English]]=TRUE,Table1[[#This Row],[Not retrieved]]=TRUE),TRUE,FALSE)</f>
        <v>0</v>
      </c>
      <c r="M60" s="1"/>
      <c r="N60" s="1"/>
      <c r="O60" s="1"/>
      <c r="P60" s="1"/>
      <c r="Q60" s="1"/>
      <c r="R60" s="1"/>
      <c r="S60" s="1"/>
      <c r="T60" s="1"/>
      <c r="U60" s="1"/>
      <c r="V60" s="1"/>
      <c r="W60" s="1"/>
      <c r="X60" s="1"/>
      <c r="Y60" s="1"/>
      <c r="Z60" s="1"/>
      <c r="AA60" s="1"/>
      <c r="AB60" s="1"/>
      <c r="AC60" s="1"/>
      <c r="AD60" s="1"/>
      <c r="AE60" s="1"/>
      <c r="AF6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0" s="1"/>
    </row>
    <row r="61" spans="1:33" ht="29" hidden="1" x14ac:dyDescent="0.35">
      <c r="A61" s="1" t="s">
        <v>174</v>
      </c>
      <c r="B61" s="15" t="s">
        <v>175</v>
      </c>
      <c r="C61" t="s">
        <v>1</v>
      </c>
      <c r="E61" s="1" t="b">
        <v>1</v>
      </c>
      <c r="J61" s="1"/>
      <c r="K61" s="1"/>
      <c r="L61" s="1" t="b">
        <f>IF(OR(Table1[[#This Row],[Does not regard DAIC-WOZ]]=TRUE,Table1[[#This Row],[Does not use MAE]]=TRUE,Table1[[#This Row],[Does not introduce new model]]=TRUE,Table1[[#This Row],[Not in English]]=TRUE,Table1[[#This Row],[Not retrieved]]=TRUE),TRUE,FALSE)</f>
        <v>0</v>
      </c>
      <c r="M61" s="1"/>
      <c r="N61" s="1"/>
      <c r="O61" s="1"/>
      <c r="P61" s="1"/>
      <c r="Q61" s="1"/>
      <c r="R61" s="1"/>
      <c r="S61" s="1"/>
      <c r="T61" s="1"/>
      <c r="U61" s="1"/>
      <c r="V61" s="1"/>
      <c r="W61" s="1"/>
      <c r="X61" s="1"/>
      <c r="Y61" s="1"/>
      <c r="Z61" s="1"/>
      <c r="AA61" s="1"/>
      <c r="AB61" s="1"/>
      <c r="AC61" s="1"/>
      <c r="AD61" s="1"/>
      <c r="AE61" s="1"/>
      <c r="AF6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1" s="1"/>
    </row>
    <row r="62" spans="1:33" ht="29" hidden="1" x14ac:dyDescent="0.35">
      <c r="A62" s="1" t="s">
        <v>176</v>
      </c>
      <c r="B62" s="15" t="s">
        <v>177</v>
      </c>
      <c r="C62" t="s">
        <v>1</v>
      </c>
      <c r="E62" s="1" t="b">
        <v>1</v>
      </c>
      <c r="J62" s="1"/>
      <c r="K62" s="1"/>
      <c r="L62" s="1" t="b">
        <f>IF(OR(Table1[[#This Row],[Does not regard DAIC-WOZ]]=TRUE,Table1[[#This Row],[Does not use MAE]]=TRUE,Table1[[#This Row],[Does not introduce new model]]=TRUE,Table1[[#This Row],[Not in English]]=TRUE,Table1[[#This Row],[Not retrieved]]=TRUE),TRUE,FALSE)</f>
        <v>0</v>
      </c>
      <c r="M62" s="1"/>
      <c r="N62" s="1"/>
      <c r="O62" s="1"/>
      <c r="P62" s="1"/>
      <c r="Q62" s="1"/>
      <c r="R62" s="1"/>
      <c r="S62" s="1"/>
      <c r="T62" s="1"/>
      <c r="U62" s="1"/>
      <c r="V62" s="1"/>
      <c r="W62" s="1"/>
      <c r="X62" s="1"/>
      <c r="Y62" s="1"/>
      <c r="Z62" s="1"/>
      <c r="AA62" s="1"/>
      <c r="AB62" s="1"/>
      <c r="AC62" s="1"/>
      <c r="AD62" s="1"/>
      <c r="AE62" s="1"/>
      <c r="AF6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63" spans="1:33" ht="43.5" hidden="1" x14ac:dyDescent="0.35">
      <c r="A63" s="1" t="s">
        <v>178</v>
      </c>
      <c r="B63" s="15" t="s">
        <v>179</v>
      </c>
      <c r="C63" t="s">
        <v>1</v>
      </c>
      <c r="E63" s="1" t="b">
        <v>1</v>
      </c>
      <c r="J63" s="1"/>
      <c r="K63" s="1"/>
      <c r="L63" s="1" t="b">
        <f>IF(OR(Table1[[#This Row],[Does not regard DAIC-WOZ]]=TRUE,Table1[[#This Row],[Does not use MAE]]=TRUE,Table1[[#This Row],[Does not introduce new model]]=TRUE,Table1[[#This Row],[Not in English]]=TRUE,Table1[[#This Row],[Not retrieved]]=TRUE),TRUE,FALSE)</f>
        <v>0</v>
      </c>
      <c r="M63" s="1"/>
      <c r="N63" s="1"/>
      <c r="O63" s="1"/>
      <c r="P63" s="1"/>
      <c r="Q63" s="1"/>
      <c r="R63" s="1"/>
      <c r="S63" s="1"/>
      <c r="T63" s="1"/>
      <c r="U63" s="1"/>
      <c r="V63" s="1"/>
      <c r="W63" s="1"/>
      <c r="X63" s="1"/>
      <c r="Y63" s="1"/>
      <c r="Z63" s="1"/>
      <c r="AA63" s="1"/>
      <c r="AB63" s="1"/>
      <c r="AC63" s="1"/>
      <c r="AD63" s="1"/>
      <c r="AE63" s="1"/>
      <c r="AF6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3" s="1"/>
    </row>
    <row r="64" spans="1:33" ht="43.5" hidden="1" x14ac:dyDescent="0.35">
      <c r="A64" s="1" t="s">
        <v>180</v>
      </c>
      <c r="B64" s="15" t="s">
        <v>181</v>
      </c>
      <c r="C64" t="s">
        <v>1</v>
      </c>
      <c r="E64" s="1" t="b">
        <v>1</v>
      </c>
      <c r="J64" s="1"/>
      <c r="K64" s="1"/>
      <c r="L64" s="1" t="b">
        <f>IF(OR(Table1[[#This Row],[Does not regard DAIC-WOZ]]=TRUE,Table1[[#This Row],[Does not use MAE]]=TRUE,Table1[[#This Row],[Does not introduce new model]]=TRUE,Table1[[#This Row],[Not in English]]=TRUE,Table1[[#This Row],[Not retrieved]]=TRUE),TRUE,FALSE)</f>
        <v>0</v>
      </c>
      <c r="M64" s="1"/>
      <c r="N64" s="1"/>
      <c r="O64" s="1"/>
      <c r="P64" s="1"/>
      <c r="Q64" s="1"/>
      <c r="R64" s="1"/>
      <c r="S64" s="1"/>
      <c r="T64" s="1"/>
      <c r="U64" s="1"/>
      <c r="V64" s="1"/>
      <c r="W64" s="1"/>
      <c r="X64" s="1"/>
      <c r="Y64" s="1"/>
      <c r="Z64" s="1"/>
      <c r="AA64" s="1"/>
      <c r="AB64" s="1"/>
      <c r="AC64" s="1"/>
      <c r="AD64" s="1"/>
      <c r="AE64" s="1"/>
      <c r="AF6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65" spans="1:33" ht="29" hidden="1" x14ac:dyDescent="0.35">
      <c r="A65" s="1" t="s">
        <v>182</v>
      </c>
      <c r="B65" s="15" t="s">
        <v>183</v>
      </c>
      <c r="C65" t="s">
        <v>1</v>
      </c>
      <c r="D65" s="1"/>
      <c r="E65" s="1" t="b">
        <v>1</v>
      </c>
      <c r="J65" s="1"/>
      <c r="K65" s="1"/>
      <c r="L65" s="1" t="b">
        <f>IF(OR(Table1[[#This Row],[Does not regard DAIC-WOZ]]=TRUE,Table1[[#This Row],[Does not use MAE]]=TRUE,Table1[[#This Row],[Does not introduce new model]]=TRUE,Table1[[#This Row],[Not in English]]=TRUE,Table1[[#This Row],[Not retrieved]]=TRUE),TRUE,FALSE)</f>
        <v>0</v>
      </c>
      <c r="M65" s="1"/>
      <c r="N65" s="1"/>
      <c r="O65" s="1"/>
      <c r="P65" s="1"/>
      <c r="Q65" s="1"/>
      <c r="R65" s="1"/>
      <c r="S65" s="1"/>
      <c r="T65" s="1"/>
      <c r="U65" s="1"/>
      <c r="V65" s="1"/>
      <c r="W65" s="1"/>
      <c r="X65" s="1"/>
      <c r="Y65" s="1"/>
      <c r="Z65" s="1"/>
      <c r="AA65" s="1"/>
      <c r="AB65" s="1"/>
      <c r="AC65" s="1"/>
      <c r="AD65" s="1"/>
      <c r="AE65" s="1"/>
      <c r="AF6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5" s="1"/>
    </row>
    <row r="66" spans="1:33" ht="29" hidden="1" x14ac:dyDescent="0.35">
      <c r="A66" s="1" t="s">
        <v>184</v>
      </c>
      <c r="B66" s="15" t="s">
        <v>185</v>
      </c>
      <c r="C66" t="s">
        <v>1</v>
      </c>
      <c r="D66" s="1"/>
      <c r="E66" s="1" t="b">
        <v>1</v>
      </c>
      <c r="J66" s="1"/>
      <c r="K66" s="1"/>
      <c r="L66" s="1" t="b">
        <f>IF(OR(Table1[[#This Row],[Does not regard DAIC-WOZ]]=TRUE,Table1[[#This Row],[Does not use MAE]]=TRUE,Table1[[#This Row],[Does not introduce new model]]=TRUE,Table1[[#This Row],[Not in English]]=TRUE,Table1[[#This Row],[Not retrieved]]=TRUE),TRUE,FALSE)</f>
        <v>0</v>
      </c>
      <c r="M66" s="1"/>
      <c r="N66" s="1"/>
      <c r="O66" s="1"/>
      <c r="P66" s="1"/>
      <c r="Q66" s="1"/>
      <c r="R66" s="1"/>
      <c r="S66" s="1"/>
      <c r="T66" s="1"/>
      <c r="U66" s="1"/>
      <c r="V66" s="1"/>
      <c r="W66" s="1"/>
      <c r="X66" s="1"/>
      <c r="Y66" s="1"/>
      <c r="Z66" s="1"/>
      <c r="AA66" s="1"/>
      <c r="AB66" s="1"/>
      <c r="AC66" s="1"/>
      <c r="AD66" s="1"/>
      <c r="AE66" s="1"/>
      <c r="AF6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6" s="1"/>
    </row>
    <row r="67" spans="1:33" ht="29" hidden="1" x14ac:dyDescent="0.35">
      <c r="A67" s="1" t="s">
        <v>186</v>
      </c>
      <c r="B67" s="15" t="s">
        <v>187</v>
      </c>
      <c r="C67" t="s">
        <v>1</v>
      </c>
      <c r="E67" s="1" t="b">
        <v>1</v>
      </c>
      <c r="J67" s="1"/>
      <c r="K67" s="1"/>
      <c r="L67" s="1" t="b">
        <f>IF(OR(Table1[[#This Row],[Does not regard DAIC-WOZ]]=TRUE,Table1[[#This Row],[Does not use MAE]]=TRUE,Table1[[#This Row],[Does not introduce new model]]=TRUE,Table1[[#This Row],[Not in English]]=TRUE,Table1[[#This Row],[Not retrieved]]=TRUE),TRUE,FALSE)</f>
        <v>0</v>
      </c>
      <c r="M67" s="1"/>
      <c r="N67" s="1"/>
      <c r="O67" s="1"/>
      <c r="P67" s="1"/>
      <c r="Q67" s="1"/>
      <c r="R67" s="1"/>
      <c r="S67" s="1"/>
      <c r="T67" s="1"/>
      <c r="U67" s="1"/>
      <c r="V67" s="1"/>
      <c r="W67" s="1"/>
      <c r="X67" s="1"/>
      <c r="Y67" s="1"/>
      <c r="Z67" s="1"/>
      <c r="AA67" s="1"/>
      <c r="AB67" s="1"/>
      <c r="AC67" s="1"/>
      <c r="AD67" s="1"/>
      <c r="AE67" s="1"/>
      <c r="AF6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7" s="1"/>
    </row>
    <row r="68" spans="1:33" ht="43.5" hidden="1" x14ac:dyDescent="0.35">
      <c r="A68" s="1" t="s">
        <v>188</v>
      </c>
      <c r="B68" s="15" t="s">
        <v>189</v>
      </c>
      <c r="C68" t="s">
        <v>1</v>
      </c>
      <c r="E68" s="1" t="b">
        <v>1</v>
      </c>
      <c r="J68" s="1"/>
      <c r="K68" s="1"/>
      <c r="L68" s="1" t="b">
        <f>IF(OR(Table1[[#This Row],[Does not regard DAIC-WOZ]]=TRUE,Table1[[#This Row],[Does not use MAE]]=TRUE,Table1[[#This Row],[Does not introduce new model]]=TRUE,Table1[[#This Row],[Not in English]]=TRUE,Table1[[#This Row],[Not retrieved]]=TRUE),TRUE,FALSE)</f>
        <v>0</v>
      </c>
      <c r="M68" s="1"/>
      <c r="N68" s="1"/>
      <c r="O68" s="1"/>
      <c r="P68" s="1"/>
      <c r="Q68" s="1"/>
      <c r="R68" s="1"/>
      <c r="S68" s="1"/>
      <c r="T68" s="1"/>
      <c r="U68" s="1"/>
      <c r="V68" s="1"/>
      <c r="W68" s="1"/>
      <c r="X68" s="1"/>
      <c r="Y68" s="1"/>
      <c r="Z68" s="1"/>
      <c r="AA68" s="1"/>
      <c r="AB68" s="1"/>
      <c r="AC68" s="1"/>
      <c r="AD68" s="1"/>
      <c r="AE68" s="1"/>
      <c r="AF6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8" s="1"/>
    </row>
    <row r="69" spans="1:33" ht="43.5" hidden="1" x14ac:dyDescent="0.35">
      <c r="A69" s="1" t="s">
        <v>190</v>
      </c>
      <c r="B69" s="15" t="s">
        <v>191</v>
      </c>
      <c r="C69" t="s">
        <v>1</v>
      </c>
      <c r="E69" s="1" t="b">
        <v>1</v>
      </c>
      <c r="J69" s="1"/>
      <c r="K69" s="1"/>
      <c r="L69" s="1" t="b">
        <f>IF(OR(Table1[[#This Row],[Does not regard DAIC-WOZ]]=TRUE,Table1[[#This Row],[Does not use MAE]]=TRUE,Table1[[#This Row],[Does not introduce new model]]=TRUE,Table1[[#This Row],[Not in English]]=TRUE,Table1[[#This Row],[Not retrieved]]=TRUE),TRUE,FALSE)</f>
        <v>0</v>
      </c>
      <c r="M69" s="1"/>
      <c r="N69" s="1"/>
      <c r="O69" s="1"/>
      <c r="P69" s="1"/>
      <c r="Q69" s="1"/>
      <c r="R69" s="1"/>
      <c r="S69" s="1"/>
      <c r="T69" s="1"/>
      <c r="U69" s="1"/>
      <c r="V69" s="1"/>
      <c r="W69" s="1"/>
      <c r="X69" s="1"/>
      <c r="Y69" s="1"/>
      <c r="Z69" s="1"/>
      <c r="AA69" s="1"/>
      <c r="AB69" s="1"/>
      <c r="AC69" s="1"/>
      <c r="AD69" s="1"/>
      <c r="AE69" s="1"/>
      <c r="AF6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9" s="1"/>
    </row>
    <row r="70" spans="1:33" ht="43.5" hidden="1" x14ac:dyDescent="0.35">
      <c r="A70" s="1" t="s">
        <v>192</v>
      </c>
      <c r="B70" s="15" t="s">
        <v>193</v>
      </c>
      <c r="C70" t="s">
        <v>1</v>
      </c>
      <c r="E70" s="1" t="b">
        <v>1</v>
      </c>
      <c r="J70" s="1"/>
      <c r="K70" s="1"/>
      <c r="L70" s="1" t="b">
        <f>IF(OR(Table1[[#This Row],[Does not regard DAIC-WOZ]]=TRUE,Table1[[#This Row],[Does not use MAE]]=TRUE,Table1[[#This Row],[Does not introduce new model]]=TRUE,Table1[[#This Row],[Not in English]]=TRUE,Table1[[#This Row],[Not retrieved]]=TRUE),TRUE,FALSE)</f>
        <v>0</v>
      </c>
      <c r="M70" s="1"/>
      <c r="N70" s="1"/>
      <c r="O70" s="1"/>
      <c r="P70" s="1"/>
      <c r="Q70" s="1"/>
      <c r="R70" s="1"/>
      <c r="S70" s="1"/>
      <c r="T70" s="1"/>
      <c r="U70" s="1"/>
      <c r="V70" s="1"/>
      <c r="W70" s="1"/>
      <c r="X70" s="1"/>
      <c r="Y70" s="1"/>
      <c r="Z70" s="1"/>
      <c r="AA70" s="1"/>
      <c r="AB70" s="1"/>
      <c r="AC70" s="1"/>
      <c r="AD70" s="1"/>
      <c r="AE70" s="1"/>
      <c r="AF7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0" s="1"/>
    </row>
    <row r="71" spans="1:33" x14ac:dyDescent="0.35">
      <c r="A71" s="1" t="s">
        <v>24</v>
      </c>
      <c r="B71" s="7"/>
      <c r="E71" s="1">
        <f>COUNTIF(Table1[Irrelevant title/abstract], TRUE)</f>
        <v>43</v>
      </c>
      <c r="G71" s="1">
        <f>COUNTIF(Table1[Does not regard DAIC-WOZ], TRUE)</f>
        <v>13</v>
      </c>
      <c r="H71" s="1">
        <f>COUNTIF(Table1[Does not use MAE], TRUE)</f>
        <v>1</v>
      </c>
      <c r="I71" s="1">
        <f>COUNTIF(Table1[Does not introduce new model], TRUE)</f>
        <v>2</v>
      </c>
      <c r="J71" s="1">
        <f>COUNTIF(Table1[Not in English], TRUE)</f>
        <v>0</v>
      </c>
      <c r="K71" s="1">
        <f>COUNTIF(Table1[Not retrieved], TRUE)</f>
        <v>0</v>
      </c>
      <c r="N71" s="1">
        <f>COUNTIF(Table1[Data partitioning], "-")</f>
        <v>0</v>
      </c>
      <c r="O71" s="1">
        <f>COUNTIF(Table1[Partitions disjoint level], "-")</f>
        <v>1</v>
      </c>
      <c r="P71" s="1">
        <f>COUNTIF(Table1[Model description], "-")</f>
        <v>6</v>
      </c>
      <c r="Q71" s="1">
        <f>COUNTIF(Table1[Training details], "-")</f>
        <v>7</v>
      </c>
      <c r="R71" s="1">
        <f>COUNTIF(Table1[Final model selection], "-")</f>
        <v>10</v>
      </c>
      <c r="S71" s="1">
        <f>COUNTIF(Table1[-], "-")</f>
        <v>0</v>
      </c>
      <c r="T71" s="1">
        <f>COUNTIF(Table1[Data modality], "-")</f>
        <v>0</v>
      </c>
      <c r="U71" s="1">
        <f>COUNTIF(Table1[Dev. MAE], "-")</f>
        <v>6</v>
      </c>
      <c r="V71" s="1">
        <f>COUNTIF(Table1[Dev. RMSE], "-")</f>
        <v>7</v>
      </c>
      <c r="W71" s="1">
        <f>COUNTIF(Table1[Dev. R2], "-")</f>
        <v>11</v>
      </c>
      <c r="X71" s="1">
        <f>COUNTIF(Table1[Test. MAE], "-")</f>
        <v>6</v>
      </c>
      <c r="Y71" s="1">
        <f>COUNTIF(Table1[Test. RMSE], "-")</f>
        <v>6</v>
      </c>
      <c r="Z71" s="1">
        <f>COUNTIF(Table1[Test. R2], "-")</f>
        <v>11</v>
      </c>
      <c r="AA71" s="1">
        <f>COUNTIF(Table1[Code available], "-")</f>
        <v>0</v>
      </c>
      <c r="AB71" s="1">
        <f>COUNTIF(Table1[Repeated experiments], "-")</f>
        <v>0</v>
      </c>
      <c r="AC71" s="1">
        <f>COUNTIF(Table1[Uses interviewer''s prompts], "-")</f>
        <v>2</v>
      </c>
      <c r="AD71" s="1">
        <f>COUNTIF(Table1[Participant inter-partition leakage], "-")</f>
        <v>1</v>
      </c>
      <c r="AF71">
        <f>COUNTIF(AF2:AF70, TRUE)</f>
        <v>0</v>
      </c>
      <c r="AG71" s="1"/>
    </row>
    <row r="72" spans="1:33" x14ac:dyDescent="0.35">
      <c r="A72" s="1" t="s">
        <v>23</v>
      </c>
    </row>
    <row r="73" spans="1:33" x14ac:dyDescent="0.35">
      <c r="A73" s="1" t="s">
        <v>21</v>
      </c>
    </row>
    <row r="74" spans="1:33" x14ac:dyDescent="0.35">
      <c r="A74" s="1" t="s">
        <v>22</v>
      </c>
    </row>
    <row r="76" spans="1:33" x14ac:dyDescent="0.35">
      <c r="A76" s="12" t="s">
        <v>53</v>
      </c>
      <c r="B76" s="13" t="s">
        <v>54</v>
      </c>
    </row>
  </sheetData>
  <phoneticPr fontId="5" type="noConversion"/>
  <hyperlinks>
    <hyperlink ref="B2" r:id="rId1" xr:uid="{34F96E26-C7D1-4406-AF65-CB86210EA415}"/>
    <hyperlink ref="B3" r:id="rId2" xr:uid="{C316CE28-FCDB-4356-941C-D5F2CF6C8352}"/>
    <hyperlink ref="B4" r:id="rId3" xr:uid="{0C019DD3-0E80-467D-BEA3-67B4F0CE11BE}"/>
    <hyperlink ref="B5" r:id="rId4" xr:uid="{67B593A2-F2A4-432F-8B82-B4B32CCE377A}"/>
    <hyperlink ref="B6" r:id="rId5" xr:uid="{CFF0D7F0-11C5-4950-B57A-EB398CBE70DD}"/>
    <hyperlink ref="B7" r:id="rId6" xr:uid="{1C767BA8-CD4C-4CFC-82EC-F8FC4DBE6B2E}"/>
    <hyperlink ref="B8" r:id="rId7" xr:uid="{3660CA1D-5D05-4F3F-A76D-850FDA191206}"/>
    <hyperlink ref="B9" r:id="rId8" xr:uid="{8DC460CC-6833-4575-BEB2-1F2CAB3FBDC0}"/>
    <hyperlink ref="B10" r:id="rId9" xr:uid="{67773AAD-F24F-4751-BA6B-F20D6D809F33}"/>
    <hyperlink ref="B11" r:id="rId10" xr:uid="{C273013F-BF19-4F63-910E-DB84DFDB13DB}"/>
    <hyperlink ref="B12" r:id="rId11" xr:uid="{CEB1570B-B245-4BF9-82D7-736DEB6EE7BB}"/>
    <hyperlink ref="B13" r:id="rId12" xr:uid="{6C531140-2D59-4A3C-9D1C-084763921348}"/>
    <hyperlink ref="B14" r:id="rId13" xr:uid="{BDDD9D8A-2674-4CA7-9035-48A6EC1090A8}"/>
    <hyperlink ref="B15" r:id="rId14" xr:uid="{9B1A9A3C-7FE9-4174-8670-C56D8C53A016}"/>
    <hyperlink ref="B16" r:id="rId15" xr:uid="{13EB7364-C300-4709-9BF5-F5493BB2CFDC}"/>
    <hyperlink ref="B17" r:id="rId16" xr:uid="{5AAA5C94-073A-4B6F-BC36-F926B780C993}"/>
    <hyperlink ref="B18" r:id="rId17" xr:uid="{D7957F05-0E83-43BA-A6CA-3CA27175F864}"/>
    <hyperlink ref="B19" r:id="rId18" xr:uid="{1048F999-B4AF-44B1-8A61-CA32EFF05E14}"/>
    <hyperlink ref="B20" r:id="rId19" xr:uid="{5CD79FDB-AF4E-441E-833A-E537239C2A56}"/>
    <hyperlink ref="B21" r:id="rId20" xr:uid="{09C7791E-40CE-4056-B706-B3C42B6D3AD2}"/>
    <hyperlink ref="B22" r:id="rId21" xr:uid="{99B0601A-4856-44A8-9268-9BF15E21089F}"/>
    <hyperlink ref="B23" r:id="rId22" xr:uid="{ED8B370E-3D21-4AD2-8E4F-6B73C9F0B6F2}"/>
    <hyperlink ref="B24" r:id="rId23" xr:uid="{797D89CB-C9F1-422E-A998-3074A1B0B14B}"/>
    <hyperlink ref="B25" r:id="rId24" xr:uid="{99DC9832-708F-442D-B8FB-03E7A104C1B9}"/>
    <hyperlink ref="B26" r:id="rId25" xr:uid="{36C0AC08-7F28-46DB-9CBF-729A74645133}"/>
    <hyperlink ref="B27" r:id="rId26" xr:uid="{7E7C5874-CC90-4B94-B0BD-D5BDBD6EE3E6}"/>
    <hyperlink ref="B28" r:id="rId27" xr:uid="{C5E4DF26-0A18-4AA1-9DD7-55B0FDFF7050}"/>
    <hyperlink ref="B29" r:id="rId28" xr:uid="{B8F19107-96CD-4260-B8A9-46AF5411EB88}"/>
    <hyperlink ref="B30" r:id="rId29" xr:uid="{7D50670B-B9BB-4F1E-AEB7-18D8140190D0}"/>
    <hyperlink ref="B31" r:id="rId30" xr:uid="{EDCA1692-8648-4B5A-AE40-0A8020692C2A}"/>
    <hyperlink ref="B32" r:id="rId31" xr:uid="{DAE8101E-9B4A-466E-8372-1A55311BEDD5}"/>
    <hyperlink ref="B33" r:id="rId32" xr:uid="{F7CE0A65-9C3F-4C48-BA2B-1F35FE8E9F9A}"/>
    <hyperlink ref="B34" r:id="rId33" xr:uid="{39946029-2C64-458C-8421-AB4968891C65}"/>
    <hyperlink ref="B35" r:id="rId34" xr:uid="{FBAD3342-3C30-478A-9A07-0DB625537BB4}"/>
    <hyperlink ref="B36" r:id="rId35" xr:uid="{6931A84F-29E3-422A-BD21-FC8F2BD9AA15}"/>
    <hyperlink ref="B37" r:id="rId36" xr:uid="{2CC4C817-C78A-4714-88DC-47A5A6B3B2C8}"/>
    <hyperlink ref="B38" r:id="rId37" xr:uid="{E4E97318-9A73-45F7-B123-FE903E40861F}"/>
    <hyperlink ref="B39" r:id="rId38" xr:uid="{555C3CED-203F-49A8-B027-D5D35EC8D2CB}"/>
    <hyperlink ref="B40" r:id="rId39" xr:uid="{EEF99A42-A225-4514-A188-7C208589133C}"/>
    <hyperlink ref="B41" r:id="rId40" xr:uid="{5F966E0E-0060-4FA0-873F-C87C65DA415D}"/>
    <hyperlink ref="B42" r:id="rId41" xr:uid="{0BE0675C-3B0F-4372-82BF-8331AEA9DCB9}"/>
    <hyperlink ref="B43" r:id="rId42" xr:uid="{36151689-C1D1-40B0-B1CF-6B59EDBF84B4}"/>
    <hyperlink ref="B44" r:id="rId43" xr:uid="{0227236E-0A00-4C15-85EB-D3589ECD59E3}"/>
    <hyperlink ref="B45" r:id="rId44" xr:uid="{C0D17683-20FA-4938-816C-FE880556AC45}"/>
    <hyperlink ref="B46" r:id="rId45" xr:uid="{48AF530A-0F68-4912-B5A3-B705F312D67F}"/>
    <hyperlink ref="B47" r:id="rId46" xr:uid="{1DC27744-41FC-4207-AE4D-260ED3B5D544}"/>
    <hyperlink ref="B48" r:id="rId47" xr:uid="{7FD1470D-7C7D-4FEC-A3E8-4541759F5920}"/>
    <hyperlink ref="B49" r:id="rId48" xr:uid="{8F4A7901-BF55-4223-B833-FA1F12C757AC}"/>
    <hyperlink ref="B50" r:id="rId49" xr:uid="{8AFE07A1-89CD-4D2C-A3C3-74F17F04DDA8}"/>
    <hyperlink ref="B51" r:id="rId50" xr:uid="{B92308F5-34EE-48C4-B0B3-15288AB4B593}"/>
    <hyperlink ref="B52" r:id="rId51" xr:uid="{8751D96E-1692-4503-9CA4-3AF4BA5ACD86}"/>
    <hyperlink ref="B53" r:id="rId52" xr:uid="{DB692B19-44BC-43F9-9DCF-20D240673AEB}"/>
    <hyperlink ref="B54" r:id="rId53" xr:uid="{EA4C6E6D-DBCD-4BA2-AD68-45BB271A1644}"/>
    <hyperlink ref="B55" r:id="rId54" xr:uid="{797FB4EE-AEF7-47AF-BEB9-5951C8E152C8}"/>
    <hyperlink ref="B56" r:id="rId55" xr:uid="{9CA0CEDF-75A4-4558-A328-742B4E000169}"/>
    <hyperlink ref="B57" r:id="rId56" xr:uid="{FC862B36-284A-43F3-BCD8-914934AF13C0}"/>
    <hyperlink ref="B58" r:id="rId57" xr:uid="{DDA6828A-3A7C-487F-AF71-FC45A617387B}"/>
    <hyperlink ref="B59" r:id="rId58" xr:uid="{EF45CDC4-1F11-4CA3-9A7D-FE7622D4763D}"/>
    <hyperlink ref="B60" r:id="rId59" xr:uid="{5A17B851-9985-45B1-BFBB-9AB69C4E8302}"/>
    <hyperlink ref="B61" r:id="rId60" xr:uid="{A88FF4E6-A62D-4CE9-8217-50ADB905D346}"/>
    <hyperlink ref="B62" r:id="rId61" xr:uid="{FA7AEA5A-55AC-4881-8815-98A5FDDFD857}"/>
    <hyperlink ref="B63" r:id="rId62" xr:uid="{355F6D79-DD15-4ABB-835A-5C8A236A9571}"/>
    <hyperlink ref="B64" r:id="rId63" xr:uid="{5CAC5A35-8816-478D-A9CE-1E1A544947E8}"/>
    <hyperlink ref="B65" r:id="rId64" xr:uid="{1D8552B0-2D97-49E3-AA2C-C8EF729BC500}"/>
    <hyperlink ref="B66" r:id="rId65" xr:uid="{B185E49D-5F83-45D9-9A96-E3DCCA79D93E}"/>
    <hyperlink ref="B67" r:id="rId66" xr:uid="{FA63CD7C-61FC-4C1F-90A0-EF560D2B1A17}"/>
    <hyperlink ref="B68" r:id="rId67" xr:uid="{FC36911E-81D1-490C-AA02-46A53583D62D}"/>
    <hyperlink ref="B69" r:id="rId68" xr:uid="{141E720F-FE60-4B5C-A190-36367694A260}"/>
    <hyperlink ref="B70" r:id="rId69" xr:uid="{6884EFF5-76F9-48D7-B0D0-2F8BC3B43E88}"/>
  </hyperlinks>
  <pageMargins left="0.75" right="0.75" top="1" bottom="1" header="0.5" footer="0.5"/>
  <legacyDrawing r:id="rId70"/>
  <tableParts count="1">
    <tablePart r:id="rId7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A2DB-7FB9-4D28-AA25-BA2017B7638F}">
  <dimension ref="B2:Q3"/>
  <sheetViews>
    <sheetView workbookViewId="0">
      <selection activeCell="D13" sqref="D13"/>
    </sheetView>
  </sheetViews>
  <sheetFormatPr defaultRowHeight="14.5" x14ac:dyDescent="0.35"/>
  <cols>
    <col min="2" max="2" width="18.08984375" bestFit="1" customWidth="1"/>
    <col min="3" max="3" width="6.6328125" bestFit="1" customWidth="1"/>
    <col min="4" max="12" width="5.08984375" bestFit="1" customWidth="1"/>
    <col min="13" max="16" width="6.08984375" bestFit="1" customWidth="1"/>
  </cols>
  <sheetData>
    <row r="2" spans="2:17" x14ac:dyDescent="0.35">
      <c r="B2" t="s">
        <v>51</v>
      </c>
      <c r="C2" s="10">
        <v>45747</v>
      </c>
      <c r="D2" s="10">
        <v>45748</v>
      </c>
      <c r="E2" s="10">
        <v>45749</v>
      </c>
      <c r="F2" s="10">
        <v>45750</v>
      </c>
      <c r="G2" s="10">
        <v>45751</v>
      </c>
      <c r="H2" s="10">
        <v>45752</v>
      </c>
      <c r="I2" s="10">
        <v>45753</v>
      </c>
      <c r="J2" s="10">
        <v>45754</v>
      </c>
      <c r="K2" s="10">
        <v>45755</v>
      </c>
      <c r="L2" s="10">
        <v>45756</v>
      </c>
      <c r="M2" s="10">
        <v>45757</v>
      </c>
      <c r="N2" s="10">
        <v>45758</v>
      </c>
      <c r="O2" s="10">
        <v>45759</v>
      </c>
      <c r="P2" s="10">
        <v>45760</v>
      </c>
      <c r="Q2" s="10"/>
    </row>
    <row r="3" spans="2:17" x14ac:dyDescent="0.35">
      <c r="B3" t="s">
        <v>52</v>
      </c>
      <c r="C3">
        <f>(Stats!$E$6)/($P$2-C2-1)</f>
        <v>0</v>
      </c>
      <c r="D3">
        <f>(Stats!$E$6)/($P$2-D2)</f>
        <v>0</v>
      </c>
      <c r="E3">
        <f>(Stats!$E$6)/($P$2-E2)</f>
        <v>0</v>
      </c>
      <c r="F3">
        <f>(Stats!$E$6)/($P$2-F2)</f>
        <v>0</v>
      </c>
      <c r="G3">
        <f>(Stats!$E$6)/($P$2-G2)</f>
        <v>0</v>
      </c>
      <c r="H3">
        <f>(Stats!$E$6)/($P$2-H2)</f>
        <v>0</v>
      </c>
      <c r="I3">
        <f>(Stats!$E$6)/($P$2-I2)</f>
        <v>0</v>
      </c>
      <c r="J3">
        <f>(Stats!$E$6)/($P$2-J2)</f>
        <v>0</v>
      </c>
      <c r="K3">
        <f>(Stats!$E$6)/($P$2-K2)</f>
        <v>0</v>
      </c>
      <c r="L3">
        <f>(Stats!$E$6)/($P$2-L2)</f>
        <v>0</v>
      </c>
      <c r="M3">
        <f>(Stats!$E$6)/($P$2-M2)</f>
        <v>0</v>
      </c>
      <c r="N3">
        <f>(Stats!$E$6)/($P$2-N2)</f>
        <v>0</v>
      </c>
      <c r="O3">
        <f>(Stats!$E$6)/($P$2-O2)</f>
        <v>0</v>
      </c>
    </row>
  </sheetData>
  <phoneticPr fontId="5" type="noConversion"/>
  <conditionalFormatting sqref="C2:O2">
    <cfRule type="expression" dxfId="0" priority="1">
      <formula>C2=TODAY()</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D51A-CB0F-4D2C-9B84-C427FB230DBF}">
  <dimension ref="B1:F7"/>
  <sheetViews>
    <sheetView tabSelected="1" zoomScale="119" workbookViewId="0"/>
  </sheetViews>
  <sheetFormatPr defaultRowHeight="14.5" x14ac:dyDescent="0.35"/>
  <cols>
    <col min="2" max="2" width="11.81640625" bestFit="1" customWidth="1"/>
    <col min="3" max="3" width="25.6328125" bestFit="1" customWidth="1"/>
    <col min="5" max="5" width="15.1796875" bestFit="1" customWidth="1"/>
  </cols>
  <sheetData>
    <row r="1" spans="2:6" x14ac:dyDescent="0.35">
      <c r="B1" s="14"/>
      <c r="C1" s="14" t="s">
        <v>14</v>
      </c>
      <c r="D1" s="14"/>
      <c r="E1" s="14"/>
    </row>
    <row r="2" spans="2:6" x14ac:dyDescent="0.35">
      <c r="B2" s="14"/>
      <c r="C2" s="14" t="s">
        <v>13</v>
      </c>
      <c r="D2" s="14" t="s">
        <v>16</v>
      </c>
      <c r="E2" s="14" t="s">
        <v>48</v>
      </c>
    </row>
    <row r="3" spans="2:6" x14ac:dyDescent="0.35">
      <c r="B3" s="14" t="s">
        <v>15</v>
      </c>
      <c r="C3" s="14">
        <f>C4+C5+C6</f>
        <v>69</v>
      </c>
      <c r="D3" s="14">
        <f>C4</f>
        <v>26</v>
      </c>
      <c r="E3" s="14">
        <f>D4</f>
        <v>10</v>
      </c>
    </row>
    <row r="4" spans="2:6" x14ac:dyDescent="0.35">
      <c r="B4" s="14" t="s">
        <v>11</v>
      </c>
      <c r="C4" s="14">
        <f>COUNTIF(Table1[Irrelevant title/abstract], FALSE)</f>
        <v>26</v>
      </c>
      <c r="D4" s="14">
        <f>D3-D5-D7</f>
        <v>10</v>
      </c>
      <c r="E4" s="14">
        <f>COUNTIF(Screening!AF2:AF70, TRUE)</f>
        <v>0</v>
      </c>
      <c r="F4" s="11">
        <f>E4/E3</f>
        <v>0</v>
      </c>
    </row>
    <row r="5" spans="2:6" x14ac:dyDescent="0.35">
      <c r="B5" s="14" t="s">
        <v>10</v>
      </c>
      <c r="C5" s="14">
        <f>COUNTIF(Table1[Irrelevant title/abstract], TRUE)</f>
        <v>43</v>
      </c>
      <c r="D5" s="14">
        <f>COUNTIF(Table1[Discarded after full-text review], TRUE) - D7</f>
        <v>16</v>
      </c>
      <c r="E5" s="14">
        <f>COUNTIF(Screening!AF2:AF70, FALSE)</f>
        <v>10</v>
      </c>
      <c r="F5" s="11">
        <f>E5/E3</f>
        <v>1</v>
      </c>
    </row>
    <row r="6" spans="2:6" x14ac:dyDescent="0.35">
      <c r="B6" s="14" t="s">
        <v>12</v>
      </c>
      <c r="C6" s="14">
        <f>COUNTIF(Table1[Irrelevant title/abstract], "")</f>
        <v>0</v>
      </c>
      <c r="D6" s="14">
        <f>D3-D4-D5-D7</f>
        <v>0</v>
      </c>
      <c r="E6" s="14">
        <f>E3-E4-E5</f>
        <v>0</v>
      </c>
      <c r="F6" s="11">
        <f>E6/E3</f>
        <v>0</v>
      </c>
    </row>
    <row r="7" spans="2:6" x14ac:dyDescent="0.35">
      <c r="B7" s="14" t="s">
        <v>27</v>
      </c>
      <c r="C7" s="17" t="s">
        <v>46</v>
      </c>
      <c r="D7" s="14">
        <f>COUNTIF(Table1[Not retrieved], TRUE)</f>
        <v>0</v>
      </c>
      <c r="E7" s="17" t="s">
        <v>46</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27FB04-AD87-4922-B781-114338D006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Screening</vt:lpstr>
      <vt:lpstr>Daily plan</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Danylenko</cp:lastModifiedBy>
  <dcterms:created xsi:type="dcterms:W3CDTF">2025-03-11T15:20:17Z</dcterms:created>
  <dcterms:modified xsi:type="dcterms:W3CDTF">2025-09-09T20:16:58Z</dcterms:modified>
</cp:coreProperties>
</file>