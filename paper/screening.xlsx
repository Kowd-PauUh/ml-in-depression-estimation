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L961KX\Private\MSc\Thesis\Systematic Review\"/>
    </mc:Choice>
  </mc:AlternateContent>
  <xr:revisionPtr revIDLastSave="0" documentId="13_ncr:1_{AE8C5ACA-D61E-4283-861A-E2B0D2F6D5F5}" xr6:coauthVersionLast="47" xr6:coauthVersionMax="47" xr10:uidLastSave="{00000000-0000-0000-0000-000000000000}"/>
  <bookViews>
    <workbookView xWindow="-110" yWindow="-110" windowWidth="19420" windowHeight="10300" activeTab="2" xr2:uid="{00000000-000D-0000-FFFF-FFFF00000000}"/>
  </bookViews>
  <sheets>
    <sheet name="Screening" sheetId="1" r:id="rId1"/>
    <sheet name="Daily plan" sheetId="3" state="hidden" r:id="rId2"/>
    <sheet name="Sta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C5" i="2"/>
  <c r="C4" i="2"/>
  <c r="D3" i="2" s="1"/>
  <c r="P347" i="1"/>
  <c r="Q347" i="1"/>
  <c r="R347" i="1"/>
  <c r="S347" i="1"/>
  <c r="T347" i="1"/>
  <c r="U347" i="1"/>
  <c r="V347" i="1"/>
  <c r="W347" i="1"/>
  <c r="X347" i="1"/>
  <c r="Y347" i="1"/>
  <c r="Z347" i="1"/>
  <c r="AA347" i="1"/>
  <c r="AB347" i="1"/>
  <c r="AC347" i="1"/>
  <c r="AD347" i="1"/>
  <c r="O347" i="1"/>
  <c r="N347" i="1"/>
  <c r="E347" i="1"/>
  <c r="L164" i="1"/>
  <c r="K347"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AF37" i="1" s="1"/>
  <c r="L38" i="1"/>
  <c r="L39" i="1"/>
  <c r="AF39" i="1" s="1"/>
  <c r="L40" i="1"/>
  <c r="L41" i="1"/>
  <c r="L42" i="1"/>
  <c r="L43" i="1"/>
  <c r="L44" i="1"/>
  <c r="AF44" i="1" s="1"/>
  <c r="L45" i="1"/>
  <c r="L46" i="1"/>
  <c r="L47" i="1"/>
  <c r="L48" i="1"/>
  <c r="L49" i="1"/>
  <c r="L50" i="1"/>
  <c r="L51" i="1"/>
  <c r="AF51" i="1" s="1"/>
  <c r="L52" i="1"/>
  <c r="AF52" i="1" s="1"/>
  <c r="L53" i="1"/>
  <c r="L54" i="1"/>
  <c r="L55" i="1"/>
  <c r="L56" i="1"/>
  <c r="L57" i="1"/>
  <c r="L58" i="1"/>
  <c r="L59" i="1"/>
  <c r="AF59" i="1" s="1"/>
  <c r="L60" i="1"/>
  <c r="L61" i="1"/>
  <c r="L62" i="1"/>
  <c r="L63" i="1"/>
  <c r="AF63" i="1" s="1"/>
  <c r="L64" i="1"/>
  <c r="L65" i="1"/>
  <c r="AF65" i="1" s="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AF127" i="1" s="1"/>
  <c r="L128" i="1"/>
  <c r="L129" i="1"/>
  <c r="L130" i="1"/>
  <c r="L131" i="1"/>
  <c r="AF131" i="1" s="1"/>
  <c r="L132" i="1"/>
  <c r="L133" i="1"/>
  <c r="L134" i="1"/>
  <c r="L135" i="1"/>
  <c r="L136" i="1"/>
  <c r="AF136" i="1" s="1"/>
  <c r="L137" i="1"/>
  <c r="L138" i="1"/>
  <c r="L139" i="1"/>
  <c r="AF139" i="1" s="1"/>
  <c r="L140" i="1"/>
  <c r="L141" i="1"/>
  <c r="L142" i="1"/>
  <c r="AF142" i="1" s="1"/>
  <c r="L143" i="1"/>
  <c r="L144" i="1"/>
  <c r="AF144" i="1" s="1"/>
  <c r="L145" i="1"/>
  <c r="L146" i="1"/>
  <c r="L147" i="1"/>
  <c r="L148" i="1"/>
  <c r="L149" i="1"/>
  <c r="L150" i="1"/>
  <c r="AF150" i="1" s="1"/>
  <c r="L151" i="1"/>
  <c r="AF151" i="1" s="1"/>
  <c r="L152" i="1"/>
  <c r="L153" i="1"/>
  <c r="L154" i="1"/>
  <c r="L155" i="1"/>
  <c r="AF155" i="1" s="1"/>
  <c r="L156" i="1"/>
  <c r="L157" i="1"/>
  <c r="L158" i="1"/>
  <c r="L159" i="1"/>
  <c r="AF159" i="1" s="1"/>
  <c r="L160" i="1"/>
  <c r="L161" i="1"/>
  <c r="AF161" i="1" s="1"/>
  <c r="L162" i="1"/>
  <c r="AF162" i="1" s="1"/>
  <c r="L163" i="1"/>
  <c r="L165" i="1"/>
  <c r="L166" i="1"/>
  <c r="L167" i="1"/>
  <c r="L168" i="1"/>
  <c r="AF168" i="1" s="1"/>
  <c r="L169" i="1"/>
  <c r="AF169" i="1" s="1"/>
  <c r="L170" i="1"/>
  <c r="AF170" i="1" s="1"/>
  <c r="L171" i="1"/>
  <c r="AF171" i="1" s="1"/>
  <c r="L172" i="1"/>
  <c r="L173" i="1"/>
  <c r="AF173" i="1" s="1"/>
  <c r="L174" i="1"/>
  <c r="L175" i="1"/>
  <c r="AF175" i="1" s="1"/>
  <c r="L176" i="1"/>
  <c r="AF176" i="1" s="1"/>
  <c r="L177" i="1"/>
  <c r="L178" i="1"/>
  <c r="L179" i="1"/>
  <c r="L180" i="1"/>
  <c r="AF180" i="1" s="1"/>
  <c r="L181" i="1"/>
  <c r="L182" i="1"/>
  <c r="L183" i="1"/>
  <c r="L184" i="1"/>
  <c r="L185" i="1"/>
  <c r="L186" i="1"/>
  <c r="AF186" i="1" s="1"/>
  <c r="L187" i="1"/>
  <c r="L188" i="1"/>
  <c r="AF188" i="1" s="1"/>
  <c r="L189" i="1"/>
  <c r="L190" i="1"/>
  <c r="L191" i="1"/>
  <c r="L192" i="1"/>
  <c r="L193" i="1"/>
  <c r="L194" i="1"/>
  <c r="AF194" i="1" s="1"/>
  <c r="L195" i="1"/>
  <c r="L196" i="1"/>
  <c r="L197" i="1"/>
  <c r="L198" i="1"/>
  <c r="L199" i="1"/>
  <c r="L200" i="1"/>
  <c r="L201" i="1"/>
  <c r="L202" i="1"/>
  <c r="L203" i="1"/>
  <c r="L204" i="1"/>
  <c r="L205" i="1"/>
  <c r="L206" i="1"/>
  <c r="AF206" i="1" s="1"/>
  <c r="L207" i="1"/>
  <c r="L208" i="1"/>
  <c r="AF208" i="1" s="1"/>
  <c r="L209" i="1"/>
  <c r="L210" i="1"/>
  <c r="AF210" i="1" s="1"/>
  <c r="L211" i="1"/>
  <c r="L212" i="1"/>
  <c r="L213" i="1"/>
  <c r="L214" i="1"/>
  <c r="L215" i="1"/>
  <c r="L216" i="1"/>
  <c r="L217" i="1"/>
  <c r="L218" i="1"/>
  <c r="L219" i="1"/>
  <c r="L220" i="1"/>
  <c r="L221" i="1"/>
  <c r="L222" i="1"/>
  <c r="L223" i="1"/>
  <c r="L224" i="1"/>
  <c r="L225" i="1"/>
  <c r="L226" i="1"/>
  <c r="L227" i="1"/>
  <c r="L228" i="1"/>
  <c r="L229" i="1"/>
  <c r="L230" i="1"/>
  <c r="L231" i="1"/>
  <c r="AF231" i="1" s="1"/>
  <c r="L232" i="1"/>
  <c r="L233" i="1"/>
  <c r="L234" i="1"/>
  <c r="L235" i="1"/>
  <c r="L236" i="1"/>
  <c r="L237" i="1"/>
  <c r="L238" i="1"/>
  <c r="L239" i="1"/>
  <c r="L240" i="1"/>
  <c r="L241" i="1"/>
  <c r="L242" i="1"/>
  <c r="AF242" i="1" s="1"/>
  <c r="L243" i="1"/>
  <c r="L244" i="1"/>
  <c r="L245" i="1"/>
  <c r="L246" i="1"/>
  <c r="L247" i="1"/>
  <c r="L248" i="1"/>
  <c r="L249" i="1"/>
  <c r="L250" i="1"/>
  <c r="L251" i="1"/>
  <c r="L252" i="1"/>
  <c r="L253" i="1"/>
  <c r="L254" i="1"/>
  <c r="L255" i="1"/>
  <c r="L256" i="1"/>
  <c r="L257" i="1"/>
  <c r="L258" i="1"/>
  <c r="AF258" i="1" s="1"/>
  <c r="L259" i="1"/>
  <c r="AF259" i="1" s="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AF318" i="1" s="1"/>
  <c r="L319" i="1"/>
  <c r="L320" i="1"/>
  <c r="L321" i="1"/>
  <c r="L322" i="1"/>
  <c r="L323" i="1"/>
  <c r="L324" i="1"/>
  <c r="L325" i="1"/>
  <c r="L326" i="1"/>
  <c r="L327" i="1"/>
  <c r="L328" i="1"/>
  <c r="L329" i="1"/>
  <c r="L330" i="1"/>
  <c r="L331" i="1"/>
  <c r="L332" i="1"/>
  <c r="L333" i="1"/>
  <c r="L334" i="1"/>
  <c r="L335" i="1"/>
  <c r="L336" i="1"/>
  <c r="L337" i="1"/>
  <c r="L338" i="1"/>
  <c r="AF338" i="1" s="1"/>
  <c r="L339" i="1"/>
  <c r="L340" i="1"/>
  <c r="L341" i="1"/>
  <c r="L342" i="1"/>
  <c r="L343" i="1"/>
  <c r="L344" i="1"/>
  <c r="L345" i="1"/>
  <c r="L346" i="1"/>
  <c r="L2" i="1"/>
  <c r="AF4" i="1"/>
  <c r="AF7" i="1"/>
  <c r="AF8" i="1"/>
  <c r="AF10" i="1"/>
  <c r="AF12" i="1"/>
  <c r="AF13" i="1"/>
  <c r="AF15" i="1"/>
  <c r="AF18" i="1"/>
  <c r="AF19" i="1"/>
  <c r="AF20" i="1"/>
  <c r="AF21" i="1"/>
  <c r="AF22" i="1"/>
  <c r="AF23" i="1"/>
  <c r="AF24" i="1"/>
  <c r="AF27" i="1"/>
  <c r="AF29" i="1"/>
  <c r="AF30" i="1"/>
  <c r="AF31" i="1"/>
  <c r="AF32" i="1"/>
  <c r="AF33" i="1"/>
  <c r="AF34" i="1"/>
  <c r="AF35" i="1"/>
  <c r="AF36" i="1"/>
  <c r="AF38" i="1"/>
  <c r="AF40" i="1"/>
  <c r="AF41" i="1"/>
  <c r="AF42" i="1"/>
  <c r="AF43" i="1"/>
  <c r="AF45" i="1"/>
  <c r="AF46" i="1"/>
  <c r="AF47" i="1"/>
  <c r="AF48" i="1"/>
  <c r="AF49" i="1"/>
  <c r="AF50" i="1"/>
  <c r="AF53" i="1"/>
  <c r="AF54" i="1"/>
  <c r="AF55" i="1"/>
  <c r="AF56" i="1"/>
  <c r="AF57" i="1"/>
  <c r="AF58" i="1"/>
  <c r="AF60" i="1"/>
  <c r="AF61" i="1"/>
  <c r="AF62" i="1"/>
  <c r="AF64"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8" i="1"/>
  <c r="AF129" i="1"/>
  <c r="AF130" i="1"/>
  <c r="AF132" i="1"/>
  <c r="AF133" i="1"/>
  <c r="AF134" i="1"/>
  <c r="AF135" i="1"/>
  <c r="AF137" i="1"/>
  <c r="AF138" i="1"/>
  <c r="AF140" i="1"/>
  <c r="AF141" i="1"/>
  <c r="AF143" i="1"/>
  <c r="AF145" i="1"/>
  <c r="AF146" i="1"/>
  <c r="AF147" i="1"/>
  <c r="AF148" i="1"/>
  <c r="AF149" i="1"/>
  <c r="AF152" i="1"/>
  <c r="AF153" i="1"/>
  <c r="AF154" i="1"/>
  <c r="AF156" i="1"/>
  <c r="AF157" i="1"/>
  <c r="AF158" i="1"/>
  <c r="AF160" i="1"/>
  <c r="AF163" i="1"/>
  <c r="AF164" i="1"/>
  <c r="AF165" i="1"/>
  <c r="AF166" i="1"/>
  <c r="AF167" i="1"/>
  <c r="AF172" i="1"/>
  <c r="AF174" i="1"/>
  <c r="AF177" i="1"/>
  <c r="AF178" i="1"/>
  <c r="AF179" i="1"/>
  <c r="AF181" i="1"/>
  <c r="AF182" i="1"/>
  <c r="AF183" i="1"/>
  <c r="AF184" i="1"/>
  <c r="AF185" i="1"/>
  <c r="AF187" i="1"/>
  <c r="AF189" i="1"/>
  <c r="AF190" i="1"/>
  <c r="AF191" i="1"/>
  <c r="AF192" i="1"/>
  <c r="AF193" i="1"/>
  <c r="AF195" i="1"/>
  <c r="AF196" i="1"/>
  <c r="AF197" i="1"/>
  <c r="AF198" i="1"/>
  <c r="AF199" i="1"/>
  <c r="AF200" i="1"/>
  <c r="AF201" i="1"/>
  <c r="AF202" i="1"/>
  <c r="AF203" i="1"/>
  <c r="AF204" i="1"/>
  <c r="AF205" i="1"/>
  <c r="AF207" i="1"/>
  <c r="AF209" i="1"/>
  <c r="AF211" i="1"/>
  <c r="AF212" i="1"/>
  <c r="AF213" i="1"/>
  <c r="AF214" i="1"/>
  <c r="AF215" i="1"/>
  <c r="AF216" i="1"/>
  <c r="AF217" i="1"/>
  <c r="AF218" i="1"/>
  <c r="AF219" i="1"/>
  <c r="AF220" i="1"/>
  <c r="AF221" i="1"/>
  <c r="AF222" i="1"/>
  <c r="AF223" i="1"/>
  <c r="AF224" i="1"/>
  <c r="AF225" i="1"/>
  <c r="AF226" i="1"/>
  <c r="AF227" i="1"/>
  <c r="AF228" i="1"/>
  <c r="AF229" i="1"/>
  <c r="AF230" i="1"/>
  <c r="AF232" i="1"/>
  <c r="AF233" i="1"/>
  <c r="AF234" i="1"/>
  <c r="AF235" i="1"/>
  <c r="AF236" i="1"/>
  <c r="AF237" i="1"/>
  <c r="AF238" i="1"/>
  <c r="AF239" i="1"/>
  <c r="AF240" i="1"/>
  <c r="AF241" i="1"/>
  <c r="AF243" i="1"/>
  <c r="AF244" i="1"/>
  <c r="AF245" i="1"/>
  <c r="AF246" i="1"/>
  <c r="AF247" i="1"/>
  <c r="AF248" i="1"/>
  <c r="AF249" i="1"/>
  <c r="AF250" i="1"/>
  <c r="AF251" i="1"/>
  <c r="AF252" i="1"/>
  <c r="AF253" i="1"/>
  <c r="AF254" i="1"/>
  <c r="AF255" i="1"/>
  <c r="AF256" i="1"/>
  <c r="AF257"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9" i="1"/>
  <c r="AF320" i="1"/>
  <c r="AF321" i="1"/>
  <c r="AF322" i="1"/>
  <c r="AF323" i="1"/>
  <c r="AF324" i="1"/>
  <c r="AF325" i="1"/>
  <c r="AF326" i="1"/>
  <c r="AF327" i="1"/>
  <c r="AF328" i="1"/>
  <c r="AF329" i="1"/>
  <c r="AF330" i="1"/>
  <c r="AF331" i="1"/>
  <c r="AF332" i="1"/>
  <c r="AF333" i="1"/>
  <c r="AF334" i="1"/>
  <c r="AF335" i="1"/>
  <c r="AF336" i="1"/>
  <c r="AF337" i="1"/>
  <c r="AF339" i="1"/>
  <c r="AF340" i="1"/>
  <c r="AF341" i="1"/>
  <c r="AF342" i="1"/>
  <c r="AF343" i="1"/>
  <c r="AF344" i="1"/>
  <c r="AF345" i="1"/>
  <c r="AF346" i="1"/>
  <c r="D5" i="2" l="1"/>
  <c r="D4" i="2" s="1"/>
  <c r="D6" i="2" s="1"/>
  <c r="AF2" i="1"/>
  <c r="AF3" i="1"/>
  <c r="AF5" i="1"/>
  <c r="AF6" i="1"/>
  <c r="AF9" i="1"/>
  <c r="AF11" i="1"/>
  <c r="AF14" i="1"/>
  <c r="AF16" i="1"/>
  <c r="AF17" i="1"/>
  <c r="AF25" i="1"/>
  <c r="AF26" i="1"/>
  <c r="AF28" i="1"/>
  <c r="G347" i="1"/>
  <c r="H347" i="1"/>
  <c r="I347" i="1"/>
  <c r="J347" i="1"/>
  <c r="C6" i="2"/>
  <c r="C3" i="2" s="1"/>
  <c r="E5" i="2" l="1"/>
  <c r="AF347" i="1"/>
  <c r="E4" i="2"/>
  <c r="E3" i="2"/>
  <c r="E6" i="2" l="1"/>
  <c r="F6" i="2" s="1"/>
  <c r="F5" i="2"/>
  <c r="F4" i="2"/>
  <c r="E3" i="3" l="1"/>
  <c r="F3" i="3"/>
  <c r="G3" i="3"/>
  <c r="H3" i="3"/>
  <c r="M3" i="3"/>
  <c r="C3" i="3"/>
  <c r="O3" i="3"/>
  <c r="I3" i="3"/>
  <c r="J3" i="3"/>
  <c r="K3" i="3"/>
  <c r="L3" i="3"/>
  <c r="N3" i="3"/>
  <c r="D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tc={A23B929B-1F88-420C-A8C6-6233EE7C8E8F}</author>
    <author>tc={6EEC5CFA-B222-4CA3-925C-04E536C2B580}</author>
    <author>tc={373F542D-AF71-4660-BEC6-02DF05EBA826}</author>
    <author>tc={FFFA284C-776A-4C26-BD00-4AB344B57E16}</author>
    <author>tc={D62BB6DA-948E-4A28-B6FB-A4B13EB08F16}</author>
    <author>tc={8C615F95-29EE-4A62-9132-7E778EB89ADE}</author>
    <author>tc={CE57047F-CEF9-41C5-B1EA-3D6BBBB24304}</author>
    <author>tc={3831AEEA-9035-4DFC-B6CC-02128C3088CC}</author>
    <author>tc={C9DA5871-6241-4670-8E15-94D802DFD5AE}</author>
    <author>tc={D7FD71E6-6DAA-4726-B1AB-0C34320015EF}</author>
    <author>tc={E38BABEB-CFB3-4542-917F-F07BCA21F894}</author>
    <author>tc={928F0FE5-2B68-4856-A132-D9FF9659BD2D}</author>
    <author>tc={E104377B-C474-4AC8-BB3E-598B9A685AFA}</author>
    <author>tc={84F46DE2-4FAE-4B9B-A300-7DF85859FD98}</author>
    <author>tc={D6D24D22-5AA6-4156-8903-DC06874882AD}</author>
    <author>tc={680EFC0F-5806-4DB9-952F-B20D65B5730D}</author>
    <author>tc={44A2EE67-55A6-4BC2-90F6-FDA083273580}</author>
    <author>tc={136AD2B7-31E1-41BA-8735-96A026829F7A}</author>
    <author>tc={A07125B4-F3CD-4801-BB1B-C5BB99036794}</author>
    <author>tc={919E3660-C35C-41A6-95B6-B281B5E41095}</author>
    <author>tc={D6594F58-992F-4BF3-95A7-F4A4E2DFCFA9}</author>
    <author>tc={241734E3-F744-4D52-B89F-96EB6D3C3153}</author>
    <author>tc={C536C448-E82A-4EDF-9ABA-240EDC0BD618}</author>
    <author>tc={B87D8D32-FF14-4B06-B8C9-9BB3CDF78D6C}</author>
    <author>tc={DD6D54C5-6BC1-4E2F-A4DB-141BA1177A6C}</author>
    <author>tc={4F75EA70-DAA7-467B-BD29-1E817F9F74F6}</author>
    <author>tc={5AF726B1-29B7-4FF3-9A28-0B9438A210B6}</author>
    <author>tc={DE069F52-8C4D-49C6-A026-295FF162079F}</author>
    <author>tc={C12E0521-C4AD-4E57-8ACA-D31644BFB1A7}</author>
    <author>tc={D3EB1694-FCB7-4DBC-9338-25A27F838D40}</author>
    <author>tc={4F827CA5-96E1-4D9A-9530-E38196E4A45C}</author>
    <author>tc={D42D618F-E3CE-4EC1-9EE4-A4EAED30C66E}</author>
    <author>tc={18A7B5B6-8AFD-4397-B747-6A4EE3991145}</author>
    <author>tc={B7576B8A-6228-4FB1-B604-631C9A8EE7AB}</author>
    <author>tc={FCB1BEB6-4975-4F57-8E90-64FBDDFCC56F}</author>
    <author>tc={FF77D7A8-49AA-4492-BCD1-E1C5C57C4A0C}</author>
    <author>tc={5F3F83A7-B7F4-4A10-91A5-338772EF050A}</author>
    <author>tc={3E03AF45-57E1-4BF5-BF08-ADB13A29E840}</author>
    <author>tc={E8361CB6-D713-4A2A-9821-68FDFD14E50A}</author>
    <author>tc={239E56BD-F310-4503-8A94-CAB4F2DEE74F}</author>
    <author>tc={2E35A4BF-C58C-47C5-8D99-05F190E38934}</author>
    <author>tc={5CBA867F-F162-4C65-A8C5-83AF3FBFFD78}</author>
    <author>tc={70C958AC-3EA8-443A-9F7E-3A78A929E3D9}</author>
    <author>tc={C87EB2D5-8870-472A-94CE-643E985FD019}</author>
    <author>tc={04B90ADB-08C2-48C3-9E35-718DB089F610}</author>
    <author>tc={232B2CFA-B534-497F-9CB0-64ADF6267D62}</author>
    <author>tc={1DDD1A0A-4C59-4F1D-887A-466C2DDAC19B}</author>
    <author>tc={E26C94BA-ED51-4166-8F00-00ED7962D6DE}</author>
    <author>tc={B930B21D-44A8-475E-B41A-BB358D9639A7}</author>
    <author>tc={50E07006-FBD2-4CE1-B0A3-606576B51666}</author>
    <author>tc={BA7D8F85-C321-427E-BB22-96879C8CD266}</author>
    <author>tc={94325C28-0555-4441-BBA4-D8DCB054C488}</author>
    <author>tc={DAB292EC-01D7-454E-AA87-615A8598FE27}</author>
    <author>tc={6C749010-EDC1-4C8E-9FA8-809AD6D15563}</author>
    <author>tc={2D0465DD-01ED-4968-B70D-F5AFE1CE25E5}</author>
    <author>tc={B2D44447-2C3E-4FD9-8E11-0F7603F8B958}</author>
    <author>tc={226F52C7-179E-41B6-A6A9-ED3A8A1731AE}</author>
    <author>tc={0E399AB5-F9A7-407D-A208-4A621FC75B15}</author>
    <author>tc={1D26D19A-A93C-48F6-9EB4-99E66DEBC54F}</author>
    <author>tc={0B171D47-59C1-4635-9E12-DC01C92A2163}</author>
    <author>tc={25A8D58B-D5D2-457C-94D7-7CE4EA476FBE}</author>
    <author>tc={99DC417D-BEEC-411B-A77C-301FCA403E83}</author>
    <author>tc={C7F77C37-1972-4514-ABD4-3E233A142C77}</author>
    <author>tc={B2D55262-5DAC-40DD-8409-2A6FDA7E4656}</author>
    <author>tc={29098707-59E9-407C-B0AC-D72B9D11FB7C}</author>
    <author>tc={17C38BA3-180B-4B77-99AC-549891FE7CA6}</author>
    <author>tc={7E22DCD6-AB09-44C8-A2E7-5E467C0C226C}</author>
    <author>tc={BA533ADF-4DF1-430B-B73B-E068D4AAD557}</author>
    <author>tc={6DEA035D-04F0-4E8A-8177-9FECB41806AA}</author>
    <author>tc={7732DB7C-7EA3-4C92-87E5-D08E73B3E315}</author>
    <author>tc={F3F88B72-07F2-4E31-ACE5-BB60B29C3D39}</author>
    <author>tc={13D0120B-D25F-4D2F-A3AA-791BDE601FB3}</author>
    <author>tc={C54D3268-9963-4670-885A-164043CBF2C8}</author>
    <author>tc={9EF6F554-393B-485D-9E3E-3886A063C914}</author>
    <author>tc={6AD423DF-21DA-4C6D-953E-13FEC4D19F3B}</author>
    <author>tc={403ACB70-1F41-4813-80CF-8874860DE1BA}</author>
    <author>tc={E34C4837-E4DE-47AC-BA53-727154261DBD}</author>
    <author>tc={BAB18B65-4E77-45A3-9A5B-0CE1BC9C8FDD}</author>
    <author>tc={8175C45F-5957-4219-BD23-758D4CDFBAE7}</author>
    <author>tc={0752A1ED-0987-4831-AD83-A7480440D908}</author>
    <author>tc={7793AD39-F74F-4452-BD36-4ED781EC6505}</author>
    <author>tc={16357A52-4A00-4324-8A0C-3280E49B5A6A}</author>
    <author>tc={FBE253FE-3884-4D6F-8EC4-64F580608B77}</author>
    <author>tc={B25B2ED6-91B3-44C9-8847-174EE6EAB38A}</author>
    <author>tc={6ECCA042-5ACE-4B4D-AB03-B8CE582ED431}</author>
    <author>tc={DA2785B7-03AB-4BF7-81D1-C2692755B205}</author>
    <author>tc={D956A544-2B20-45A1-A0B1-3AEC94DC60B2}</author>
    <author>tc={D235CE31-05BC-4E6A-91CD-7AFEDC1FDEA0}</author>
    <author>tc={EDD049C4-92CE-402F-8933-06B5B39FC972}</author>
    <author>tc={77B1DA13-8310-45D6-B3BB-EB22D3BD4912}</author>
    <author>tc={454AD9B6-53C4-40C3-9F62-83DDE9E4A4B8}</author>
    <author>tc={A6EF5086-DFF6-4ED0-8D8F-CBC2B2AEC7AA}</author>
    <author>tc={52FEB434-B4C2-45AC-971B-0BAEAA129D25}</author>
    <author>tc={3AA2E6B0-D7C6-4F5B-A0CB-6BC79D420009}</author>
    <author>tc={BD432027-419A-443B-831C-571E2879A436}</author>
    <author>tc={7CF707E3-4321-44E6-8419-305986DE3066}</author>
    <author>tc={010B2439-94B1-4B52-B2A6-F6574274F4C3}</author>
    <author>tc={BCB79246-6102-45B6-BA5A-B994BCB3728F}</author>
    <author>tc={682A370B-46C7-4C32-859C-6B3D8AEA073C}</author>
    <author>tc={7BFC5B8C-3EAD-4D37-9820-C691EAFCEEB7}</author>
    <author>tc={0180D274-815C-40FC-944D-5C362B36EA51}</author>
    <author>tc={1A393B53-6B5E-4E2C-A97F-92281931E5DC}</author>
    <author>tc={23C80023-4329-4691-8C41-9AB9E1940322}</author>
    <author>tc={81A4A647-9EE2-4F26-AC32-DF193C9CCC3E}</author>
    <author>tc={EA2A0425-1D5B-4FC2-9554-F9A3D5FB5EAE}</author>
    <author>tc={987C1560-5D37-4B0A-9715-4D8700202047}</author>
    <author>tc={BF675BA8-A443-41CE-9A93-F92C533AEF11}</author>
    <author>tc={4055D0AB-C609-43D5-87A5-980A1F5E0512}</author>
    <author>tc={B55FB8D9-145D-4872-B6CA-F6DF1EFD5256}</author>
    <author>tc={0BC9EC53-3D5C-4A1D-AA9A-0C63FBAC85E4}</author>
    <author>tc={544DC78A-AF99-4622-B528-719182482E72}</author>
    <author>tc={9F468C17-4238-4301-B5A6-B6CF18C1B320}</author>
    <author>tc={0CF30255-8A3D-4919-9233-FFF88F64BDEC}</author>
    <author>tc={7108276D-7BAD-4C60-8328-BCB059D3D8F0}</author>
    <author>tc={C5F1093F-9A67-46F1-BB46-E2ED57133E58}</author>
    <author>tc={7E8CE905-D68B-46B6-BF95-92BB9D2FA33E}</author>
    <author>tc={95F9FDCB-C409-4D61-9B8E-6A459F2B95EA}</author>
    <author>tc={53A145EB-5B5C-43AF-8DE6-CF60C8320023}</author>
    <author>tc={2C5027EE-E875-4E68-BDE4-419515D07511}</author>
    <author>tc={3E8368AE-4C76-4EE5-9606-A227752F0E4D}</author>
    <author>tc={67041EBC-E75E-4F20-A731-06D3FD083A42}</author>
    <author>tc={0E49BF83-321E-4A50-8AA1-E7AA54FCF4BF}</author>
    <author>tc={498C9FC9-A5A7-4224-B16F-D5EF190BF23C}</author>
    <author>tc={7B53DDEA-4529-4810-A667-A80E6935CBB7}</author>
    <author>tc={13E15B68-D8EB-453F-A440-8ADF91D209FE}</author>
    <author>tc={362F1E12-AE78-415F-A6CC-0AB28016237B}</author>
    <author>tc={6431F48F-4542-493A-9EE5-316D908FE3DB}</author>
    <author>tc={3E032A8A-B784-48B5-818D-94D4D4B26CD3}</author>
    <author>tc={52E93B78-620B-48BF-B267-15F47AB8F619}</author>
    <author>tc={74A938EB-68A3-4EE7-A92B-0CEFAABAEF51}</author>
    <author>tc={106E5C7D-D279-41F4-B8E3-B8E09333BA76}</author>
    <author>tc={4E047EE5-FFE7-4206-9BFC-6B1D09F1CD6E}</author>
    <author>tc={0C8FFD74-B105-4CAA-8C87-BA60A96B0B98}</author>
    <author>tc={3508F62D-E515-44FB-8EE2-0878A20159D0}</author>
    <author>tc={9B68B1A4-6F77-4C20-83B9-932BBA13DBFA}</author>
    <author>tc={9EE4B5EC-C74D-4ACE-A823-A5A9548E0488}</author>
    <author>tc={2A88D3A4-3D01-4A31-9D88-4DB18487C5CC}</author>
    <author>tc={DA3EDAE9-AD1D-4518-A404-A0062D753D4F}</author>
    <author>tc={4A25A468-1073-4BD0-9363-2EA8C91917EF}</author>
    <author>tc={AEABD4DE-B112-4A6A-9CEE-C655D1C68564}</author>
    <author>tc={F8491903-E287-4F11-BBFA-AC518C5B5DF8}</author>
    <author>tc={B371964B-2AAC-4AC9-A5AE-70545583CE99}</author>
  </authors>
  <commentList>
    <comment ref="Q6" authorId="0" shapeId="0" xr:uid="{A23B929B-1F88-420C-A8C6-6233EE7C8E8F}">
      <text>
        <t>[Threaded comment]
Your version of Excel allows you to read this threaded comment; however, any edits to it will get removed if the file is opened in a newer version of Excel. Learn more: https://go.microsoft.com/fwlink/?linkid=870924
Comment:
    Detailed model specifications (e.g. number of trees in random forest) are not disclosed.</t>
      </text>
    </comment>
    <comment ref="R11" authorId="1" shapeId="0" xr:uid="{6EEC5CFA-B222-4CA3-925C-04E536C2B580}">
      <text>
        <t>[Threaded comment]
Your version of Excel allows you to read this threaded comment; however, any edits to it will get removed if the file is opened in a newer version of Excel. Learn more: https://go.microsoft.com/fwlink/?linkid=870924
Comment:
    Grid search on train-val split is mentioned, however target metric used for best hyperparameter combination selection is not disclosed.</t>
      </text>
    </comment>
    <comment ref="V14" authorId="2" shapeId="0" xr:uid="{373F542D-AF71-4660-BEC6-02DF05EBA826}">
      <text>
        <t>[Threaded comment]
Your version of Excel allows you to read this threaded comment; however, any edits to it will get removed if the file is opened in a newer version of Excel. Learn more: https://go.microsoft.com/fwlink/?linkid=870924
Comment:
    There was only train/test split so we treat these „test” results as dev, since „test” split is not held-out</t>
      </text>
    </comment>
    <comment ref="M19" authorId="3" shapeId="0" xr:uid="{FFFA284C-776A-4C26-BD00-4AB344B57E16}">
      <text>
        <t>[Threaded comment]
Your version of Excel allows you to read this threaded comment; however, any edits to it will get removed if the file is opened in a newer version of Excel. Learn more: https://go.microsoft.com/fwlink/?linkid=870924
Comment:
    MFCC features extraction is weakly described (no information regarding audio preprocessing, lack of windowing description)</t>
      </text>
    </comment>
    <comment ref="O19" authorId="4" shapeId="0" xr:uid="{D62BB6DA-948E-4A28-B6FB-A4B13EB08F16}">
      <text>
        <t>[Threaded comment]
Your version of Excel allows you to read this threaded comment; however, any edits to it will get removed if the file is opened in a newer version of Excel. Learn more: https://go.microsoft.com/fwlink/?linkid=870924
Comment:
    Partitions disjoint level is not disclosed</t>
      </text>
    </comment>
    <comment ref="Q19" authorId="5" shapeId="0" xr:uid="{8C615F95-29EE-4A62-9132-7E778EB89ADE}">
      <text>
        <t>[Threaded comment]
Your version of Excel allows you to read this threaded comment; however, any edits to it will get removed if the file is opened in a newer version of Excel. Learn more: https://go.microsoft.com/fwlink/?linkid=870924
Comment:
    Training details are not disclosed (optimizer, learning rate, number of epochs)</t>
      </text>
    </comment>
    <comment ref="R19" authorId="6" shapeId="0" xr:uid="{CE57047F-CEF9-41C5-B1EA-3D6BBBB24304}">
      <text>
        <t>[Threaded comment]
Your version of Excel allows you to read this threaded comment; however, any edits to it will get removed if the file is opened in a newer version of Excel. Learn more: https://go.microsoft.com/fwlink/?linkid=870924
Comment:
    Convergence criteria are not disclosed</t>
      </text>
    </comment>
    <comment ref="AC19" authorId="7" shapeId="0" xr:uid="{3831AEEA-9035-4DFC-B6CC-02128C3088CC}">
      <text>
        <t>[Threaded comment]
Your version of Excel allows you to read this threaded comment; however, any edits to it will get removed if the file is opened in a newer version of Excel. Learn more: https://go.microsoft.com/fwlink/?linkid=870924
Comment:
    From data preprocessing it’s unclear whether interviewer’s turns are used for the model training</t>
      </text>
    </comment>
    <comment ref="M21" authorId="8" shapeId="0" xr:uid="{C9DA5871-6241-4670-8E15-94D802DFD5AE}">
      <text>
        <t>[Threaded comment]
Your version of Excel allows you to read this threaded comment; however, any edits to it will get removed if the file is opened in a newer version of Excel. Learn more: https://go.microsoft.com/fwlink/?linkid=870924
Comment:
    Lack of description of validation set preprocessing</t>
      </text>
    </comment>
    <comment ref="O21" authorId="9" shapeId="0" xr:uid="{D7FD71E6-6DAA-4726-B1AB-0C34320015EF}">
      <text>
        <t>[Threaded comment]
Your version of Excel allows you to read this threaded comment; however, any edits to it will get removed if the file is opened in a newer version of Excel. Learn more: https://go.microsoft.com/fwlink/?linkid=870924
Comment:
    Training partition was disjoint into 382 seconds fragments, however validation partition disjoint level is not disclosed</t>
      </text>
    </comment>
    <comment ref="P21" authorId="10" shapeId="0" xr:uid="{E38BABEB-CFB3-4542-917F-F07BCA21F894}">
      <text>
        <t>[Threaded comment]
Your version of Excel allows you to read this threaded comment; however, any edits to it will get removed if the file is opened in a newer version of Excel. Learn more: https://go.microsoft.com/fwlink/?linkid=870924
Comment:
    Model hyperparameters are not disclosed (number of layers, dimensionality of each layer, convolutional kernels etc.)</t>
      </text>
    </comment>
    <comment ref="Q21" authorId="11" shapeId="0" xr:uid="{928F0FE5-2B68-4856-A132-D9FF9659BD2D}">
      <text>
        <t>[Threaded comment]
Your version of Excel allows you to read this threaded comment; however, any edits to it will get removed if the file is opened in a newer version of Excel. Learn more: https://go.microsoft.com/fwlink/?linkid=870924
Comment:
    Training details are not disclosed (optimizer, learning rate, number of epochs)</t>
      </text>
    </comment>
    <comment ref="R21" authorId="12" shapeId="0" xr:uid="{E104377B-C474-4AC8-BB3E-598B9A685AFA}">
      <text>
        <t>[Threaded comment]
Your version of Excel allows you to read this threaded comment; however, any edits to it will get removed if the file is opened in a newer version of Excel. Learn more: https://go.microsoft.com/fwlink/?linkid=870924
Comment:
    Convergence criteria are not disclosed</t>
      </text>
    </comment>
    <comment ref="M22" authorId="13" shapeId="0" xr:uid="{84F46DE2-4FAE-4B9B-A300-7DF85859FD98}">
      <text>
        <t>[Threaded comment]
Your version of Excel allows you to read this threaded comment; however, any edits to it will get removed if the file is opened in a newer version of Excel. Learn more: https://go.microsoft.com/fwlink/?linkid=870924
Comment:
    Data preprocessing description is poor and chaotic: „To minimize noise in text data, commonly used words such as "and," "the," and "is" that lack significant meaning are usually eliminated”. For some reason correlation analysis is performed within AVEC 2019 dataset</t>
      </text>
    </comment>
    <comment ref="O22" authorId="14" shapeId="0" xr:uid="{D6D24D22-5AA6-4156-8903-DC06874882AD}">
      <text>
        <t>[Threaded comment]
Your version of Excel allows you to read this threaded comment; however, any edits to it will get removed if the file is opened in a newer version of Excel. Learn more: https://go.microsoft.com/fwlink/?linkid=870924
Comment:
    Partitions disjoint level is not disclosed</t>
      </text>
    </comment>
    <comment ref="P22" authorId="15" shapeId="0" xr:uid="{680EFC0F-5806-4DB9-952F-B20D65B5730D}">
      <text>
        <t xml:space="preserve">[Threaded comment]
Your version of Excel allows you to read this threaded comment; however, any edits to it will get removed if the file is opened in a newer version of Excel. Learn more: https://go.microsoft.com/fwlink/?linkid=870924
Comment:
    Inconsistencies in model description. Autors state extraction of „767 embeddings”, supposedly meaning „767 dimensional embeddings”, hovewer BERT model produces 768-dimensional vectors. Number of LSTM layers is not disclosed. Autoencoder dimensionality is not disclosed </t>
      </text>
    </comment>
    <comment ref="Q22" authorId="16" shapeId="0" xr:uid="{44A2EE67-55A6-4BC2-90F6-FDA083273580}">
      <text>
        <t>[Threaded comment]
Your version of Excel allows you to read this threaded comment; however, any edits to it will get removed if the file is opened in a newer version of Excel. Learn more: https://go.microsoft.com/fwlink/?linkid=870924
Comment:
    Training description lacks details (optimizer, early stopping setting)</t>
      </text>
    </comment>
    <comment ref="R22" authorId="17" shapeId="0" xr:uid="{136AD2B7-31E1-41BA-8735-96A026829F7A}">
      <text>
        <t>[Threaded comment]
Your version of Excel allows you to read this threaded comment; however, any edits to it will get removed if the file is opened in a newer version of Excel. Learn more: https://go.microsoft.com/fwlink/?linkid=870924
Comment:
    Early stopping was used, however description lacks details</t>
      </text>
    </comment>
    <comment ref="Q24" authorId="18" shapeId="0" xr:uid="{A07125B4-F3CD-4801-BB1B-C5BB99036794}">
      <text>
        <t>[Threaded comment]
Your version of Excel allows you to read this threaded comment; however, any edits to it will get removed if the file is opened in a newer version of Excel. Learn more: https://go.microsoft.com/fwlink/?linkid=870924
Comment:
    Training details are not disclosed</t>
      </text>
    </comment>
    <comment ref="R24" authorId="19" shapeId="0" xr:uid="{919E3660-C35C-41A6-95B6-B281B5E41095}">
      <text>
        <t xml:space="preserve">[Threaded comment]
Your version of Excel allows you to read this threaded comment; however, any edits to it will get removed if the file is opened in a newer version of Excel. Learn more: https://go.microsoft.com/fwlink/?linkid=870924
Comment:
    Convergence criteria for text modality are not disclosed. </t>
      </text>
    </comment>
    <comment ref="Q37" authorId="20" shapeId="0" xr:uid="{D6594F58-992F-4BF3-95A7-F4A4E2DFCFA9}">
      <text>
        <t>[Threaded comment]
Your version of Excel allows you to read this threaded comment; however, any edits to it will get removed if the file is opened in a newer version of Excel. Learn more: https://go.microsoft.com/fwlink/?linkid=870924
Comment:
    Everything was really good except the lack of PV model pretraining process description</t>
      </text>
    </comment>
    <comment ref="AB39" authorId="21" shapeId="0" xr:uid="{241734E3-F744-4D52-B89F-96EB6D3C3153}">
      <text>
        <t>[Threaded comment]
Your version of Excel allows you to read this threaded comment; however, any edits to it will get removed if the file is opened in a newer version of Excel. Learn more: https://go.microsoft.com/fwlink/?linkid=870924
Comment:
    No crossval, just repeated (5 times) experiments with different seeds</t>
      </text>
    </comment>
    <comment ref="V44" authorId="22" shapeId="0" xr:uid="{C536C448-E82A-4EDF-9ABA-240EDC0BD618}">
      <text>
        <t>[Threaded comment]
Your version of Excel allows you to read this threaded comment; however, any edits to it will get removed if the file is opened in a newer version of Excel. Learn more: https://go.microsoft.com/fwlink/?linkid=870924
Comment:
    There was only train/test split so we treat these „test” results as dev, since „test” split is not held-out</t>
      </text>
    </comment>
    <comment ref="V51" authorId="23" shapeId="0" xr:uid="{B87D8D32-FF14-4B06-B8C9-9BB3CDF78D6C}">
      <text>
        <t>[Threaded comment]
Your version of Excel allows you to read this threaded comment; however, any edits to it will get removed if the file is opened in a newer version of Excel. Learn more: https://go.microsoft.com/fwlink/?linkid=870924
Comment:
    There are inconsistencies in reported MAE values in tables with ones in the text, therefore we do not include them here</t>
      </text>
    </comment>
    <comment ref="Q52" authorId="24" shapeId="0" xr:uid="{DD6D54C5-6BC1-4E2F-A4DB-141BA1177A6C}">
      <text>
        <t>[Threaded comment]
Your version of Excel allows you to read this threaded comment; however, any edits to it will get removed if the file is opened in a newer version of Excel. Learn more: https://go.microsoft.com/fwlink/?linkid=870924
Comment:
    Prompts are not disclosed.</t>
      </text>
    </comment>
    <comment ref="O59" authorId="25" shapeId="0" xr:uid="{4F75EA70-DAA7-467B-BD29-1E817F9F74F6}">
      <text>
        <t>[Threaded comment]
Your version of Excel allows you to read this threaded comment; however, any edits to it will get removed if the file is opened in a newer version of Excel. Learn more: https://go.microsoft.com/fwlink/?linkid=870924
Comment:
    No clear information on disjoint level. There are mentions of „sentences” but no concise section regarding data preprocessing</t>
      </text>
    </comment>
    <comment ref="Q59" authorId="26" shapeId="0" xr:uid="{5AF726B1-29B7-4FF3-9A28-0B9438A210B6}">
      <text>
        <t>[Threaded comment]
Your version of Excel allows you to read this threaded comment; however, any edits to it will get removed if the file is opened in a newer version of Excel. Learn more: https://go.microsoft.com/fwlink/?linkid=870924
Comment:
    No description of the final model archtecture. There are mentions of SVM and DT but nothing about link between them</t>
      </text>
    </comment>
    <comment ref="I60" authorId="27" shapeId="0" xr:uid="{DE069F52-8C4D-49C6-A026-295FF162079F}">
      <text>
        <t xml:space="preserve">[Threaded comment]
Your version of Excel allows you to read this threaded comment; however, any edits to it will get removed if the file is opened in a newer version of Excel. Learn more: https://go.microsoft.com/fwlink/?linkid=870924
Comment:
    Almost exact same architecture as in 
„Hybrid Depression Classification and Estimation from Audio Video and Text Information”
https://doi.org/10.1145/3133944.3133950
Same authors, same year (and same journal issue)
</t>
      </text>
    </comment>
    <comment ref="M65" authorId="28" shapeId="0" xr:uid="{C12E0521-C4AD-4E57-8ACA-D31644BFB1A7}">
      <text>
        <t>[Threaded comment]
Your version of Excel allows you to read this threaded comment; however, any edits to it will get removed if the file is opened in a newer version of Excel. Learn more: https://go.microsoft.com/fwlink/?linkid=870924
Comment:
    Weak description of data preprocesing</t>
      </text>
    </comment>
    <comment ref="O65" authorId="29" shapeId="0" xr:uid="{D3EB1694-FCB7-4DBC-9338-25A27F838D40}">
      <text>
        <t>[Threaded comment]
Your version of Excel allows you to read this threaded comment; however, any edits to it will get removed if the file is opened in a newer version of Excel. Learn more: https://go.microsoft.com/fwlink/?linkid=870924
Comment:
    Unclear partitions disjoint level</t>
      </text>
    </comment>
    <comment ref="P65" authorId="30" shapeId="0" xr:uid="{4F827CA5-96E1-4D9A-9530-E38196E4A45C}">
      <text>
        <t>[Threaded comment]
Your version of Excel allows you to read this threaded comment; however, any edits to it will get removed if the file is opened in a newer version of Excel. Learn more: https://go.microsoft.com/fwlink/?linkid=870924
Comment:
    Very chaotic desctiption of models used per modality and their ensemble</t>
      </text>
    </comment>
    <comment ref="M127" authorId="31" shapeId="0" xr:uid="{D42D618F-E3CE-4EC1-9EE4-A4EAED30C66E}">
      <text>
        <t>[Threaded comment]
Your version of Excel allows you to read this threaded comment; however, any edits to it will get removed if the file is opened in a newer version of Excel. Learn more: https://go.microsoft.com/fwlink/?linkid=870924
Comment:
    Data preprocessing is not disclosed</t>
      </text>
    </comment>
    <comment ref="Q127" authorId="32" shapeId="0" xr:uid="{18A7B5B6-8AFD-4397-B747-6A4EE3991145}">
      <text>
        <t>[Threaded comment]
Your version of Excel allows you to read this threaded comment; however, any edits to it will get removed if the file is opened in a newer version of Excel. Learn more: https://go.microsoft.com/fwlink/?linkid=870924
Comment:
    Learning rate decay is not described. Cross-validation is performed on an unknown partition</t>
      </text>
    </comment>
    <comment ref="R127" authorId="33" shapeId="0" xr:uid="{B7576B8A-6228-4FB1-B604-631C9A8EE7AB}">
      <text>
        <t>[Threaded comment]
Your version of Excel allows you to read this threaded comment; however, any edits to it will get removed if the file is opened in a newer version of Excel. Learn more: https://go.microsoft.com/fwlink/?linkid=870924
Comment:
    The description of best model selection is vague: „As shown in Table V, we give the hyperparameters used in our experiments and tune the hyperparameters via grid search in the validation set, at meantime we train all the learning models using 5-cross validation.„ It’s unclear on which subset the cross-validation is performed</t>
      </text>
    </comment>
    <comment ref="U127" authorId="34" shapeId="0" xr:uid="{FCB1BEB6-4975-4F57-8E90-64FBDDFCC56F}">
      <text>
        <t>[Threaded comment]
Your version of Excel allows you to read this threaded comment; however, any edits to it will get removed if the file is opened in a newer version of Excel. Learn more: https://go.microsoft.com/fwlink/?linkid=870924
Comment:
    Reported results regard unknown partiion</t>
      </text>
    </comment>
    <comment ref="I133" authorId="35" shapeId="0" xr:uid="{FF77D7A8-49AA-4492-BCD1-E1C5C57C4A0C}">
      <text>
        <t>[Threaded comment]
Your version of Excel allows you to read this threaded comment; however, any edits to it will get removed if the file is opened in a newer version of Excel. Learn more: https://go.microsoft.com/fwlink/?linkid=870924
Comment:
    Stolen architecture from „Towards automatic text-based estimation of depression through symptom prediction” https://doi.org/10.1186/s40708-023-00185-9
(2023)</t>
      </text>
    </comment>
    <comment ref="I134" authorId="36" shapeId="0" xr:uid="{5F3F83A7-B7F4-4A10-91A5-338772EF050A}">
      <text>
        <t>[Threaded comment]
Your version of Excel allows you to read this threaded comment; however, any edits to it will get removed if the file is opened in a newer version of Excel. Learn more: https://go.microsoft.com/fwlink/?linkid=870924
Comment:
    Identical architecture as in  „Towards automatic text-based estimation of depression through symptom prediction” https://doi.org/10.1186/s40708-023-00185-9
(2023)
The only difference is additional preprocessing of samples</t>
      </text>
    </comment>
    <comment ref="I135" authorId="37" shapeId="0" xr:uid="{3E03AF45-57E1-4BF5-BF08-ADB13A29E840}">
      <text>
        <t>[Threaded comment]
Your version of Excel allows you to read this threaded comment; however, any edits to it will get removed if the file is opened in a newer version of Excel. Learn more: https://go.microsoft.com/fwlink/?linkid=870924
Comment:
    Similar to „Hierarchical Attention Transfer Networks for Depression Assessment from Speech”
https://doi.org/10.1109/ICASSP40776.2020.9053207
Same authors, same year of publication (2020)</t>
      </text>
    </comment>
    <comment ref="I137" authorId="38" shapeId="0" xr:uid="{E8361CB6-D713-4A2A-9821-68FDFD14E50A}">
      <text>
        <t xml:space="preserve">[Threaded comment]
Your version of Excel allows you to read this threaded comment; however, any edits to it will get removed if the file is opened in a newer version of Excel. Learn more: https://go.microsoft.com/fwlink/?linkid=870924
Comment:
    We suspect that „prefix tuning” is used only to justify the scientific novelty of the work: „To the best of our knowledge, this work is the first instance of leveraging prefix-tuning for the task of depression diagnosis prediction. „
Except the pre-training technique and using QR pairs instead of interview turns, the work relies on the same regression architecture as in 
„Towards automatic text-based estimation of depression through symptom prediction”
https://doi.org/10.1186/s40708-023-00185-9
(published 13 February 2023)
This work was published 15 June 2023
</t>
      </text>
    </comment>
    <comment ref="Q139" authorId="39" shapeId="0" xr:uid="{239E56BD-F310-4503-8A94-CAB4F2DEE74F}">
      <text>
        <t>[Threaded comment]
Your version of Excel allows you to read this threaded comment; however, any edits to it will get removed if the file is opened in a newer version of Excel. Learn more: https://go.microsoft.com/fwlink/?linkid=870924
Comment:
    No information regarding number of epochs and convergence criteria
Reply:
    No information on hyperparameters tuned</t>
      </text>
    </comment>
    <comment ref="U139" authorId="40" shapeId="0" xr:uid="{2E35A4BF-C58C-47C5-8D99-05F190E38934}">
      <text>
        <t>[Threaded comment]
Your version of Excel allows you to read this threaded comment; however, any edits to it will get removed if the file is opened in a newer version of Excel. Learn more: https://go.microsoft.com/fwlink/?linkid=870924
Comment:
    We suppose that results are reported for the validation (dev) set, however it is not disclosed anywhere in paper</t>
      </text>
    </comment>
    <comment ref="V139" authorId="41" shapeId="0" xr:uid="{5CBA867F-F162-4C65-A8C5-83AF3FBFFD78}">
      <text>
        <t>[Threaded comment]
Your version of Excel allows you to read this threaded comment; however, any edits to it will get removed if the file is opened in a newer version of Excel. Learn more: https://go.microsoft.com/fwlink/?linkid=870924
Comment:
    We suppose that results are reported for the validation (dev) set, however it is not disclosed anywhere in paper</t>
      </text>
    </comment>
    <comment ref="N142" authorId="42" shapeId="0" xr:uid="{70C958AC-3EA8-443A-9F7E-3A78A929E3D9}">
      <text>
        <t>[Threaded comment]
Your version of Excel allows you to read this threaded comment; however, any edits to it will get removed if the file is opened in a newer version of Excel. Learn more: https://go.microsoft.com/fwlink/?linkid=870924
Comment:
    No information regarding data partitioning. There’s a mention of a „standard protocol” but we did’t find obvious data partitioning scheme there</t>
      </text>
    </comment>
    <comment ref="P142" authorId="43" shapeId="0" xr:uid="{C87EB2D5-8870-472A-94CE-643E985FD019}">
      <text>
        <t>[Threaded comment]
Your version of Excel allows you to read this threaded comment; however, any edits to it will get removed if the file is opened in a newer version of Excel. Learn more: https://go.microsoft.com/fwlink/?linkid=870924
Comment:
    No information regarding threshold used for selection a number of layers</t>
      </text>
    </comment>
    <comment ref="Q142" authorId="44" shapeId="0" xr:uid="{04B90ADB-08C2-48C3-9E35-718DB089F610}">
      <text>
        <t>[Threaded comment]
Your version of Excel allows you to read this threaded comment; however, any edits to it will get removed if the file is opened in a newer version of Excel. Learn more: https://go.microsoft.com/fwlink/?linkid=870924
Comment:
    Some of the prompts are not disclosed, but we put here N/A since the model is not actually trained</t>
      </text>
    </comment>
    <comment ref="I143" authorId="45" shapeId="0" xr:uid="{232B2CFA-B534-497F-9CB0-64ADF6267D62}">
      <text>
        <t>[Threaded comment]
Your version of Excel allows you to read this threaded comment; however, any edits to it will get removed if the file is opened in a newer version of Excel. Learn more: https://go.microsoft.com/fwlink/?linkid=870924
Comment:
    Same authors and architecture as in „Gender-aware estimation of depression severity level in a multimodal setting”. 
https://ieeexplore.ieee.org/abstract/document/9534330/
Hovewer this work was published earlier we still consider this as not introducing novelty.</t>
      </text>
    </comment>
    <comment ref="M144" authorId="46" shapeId="0" xr:uid="{1DDD1A0A-4C59-4F1D-887A-466C2DDAC19B}">
      <text>
        <t>[Threaded comment]
Your version of Excel allows you to read this threaded comment; however, any edits to it will get removed if the file is opened in a newer version of Excel. Learn more: https://go.microsoft.com/fwlink/?linkid=870924
Comment:
    Vague description of data preprocessing (oversampling, irrelevant data filtering, mel spectrogram calculation)</t>
      </text>
    </comment>
    <comment ref="O144" authorId="47" shapeId="0" xr:uid="{E26C94BA-ED51-4166-8F00-00ED7962D6DE}">
      <text>
        <t>[Threaded comment]
Your version of Excel allows you to read this threaded comment; however, any edits to it will get removed if the file is opened in a newer version of Excel. Learn more: https://go.microsoft.com/fwlink/?linkid=870924
Comment:
    It’s not clear at which level partitions are disjoint</t>
      </text>
    </comment>
    <comment ref="R144" authorId="48" shapeId="0" xr:uid="{B930B21D-44A8-475E-B41A-BB358D9639A7}">
      <text>
        <t>[Threaded comment]
Your version of Excel allows you to read this threaded comment; however, any edits to it will get removed if the file is opened in a newer version of Excel. Learn more: https://go.microsoft.com/fwlink/?linkid=870924
Comment:
    No convergence criteria applied. Model was trained for fixed amount of epochs</t>
      </text>
    </comment>
    <comment ref="AB150" authorId="49" shapeId="0" xr:uid="{50E07006-FBD2-4CE1-B0A3-606576B51666}">
      <text>
        <t>[Threaded comment]
Your version of Excel allows you to read this threaded comment; however, any edits to it will get removed if the file is opened in a newer version of Excel. Learn more: https://go.microsoft.com/fwlink/?linkid=870924
Comment:
    Crossval is performed in ablation study and results are: testMAE=3,52; testRMSE=4,32</t>
      </text>
    </comment>
    <comment ref="M151" authorId="50" shapeId="0" xr:uid="{BA7D8F85-C321-427E-BB22-96879C8CD266}">
      <text>
        <t>[Threaded comment]
Your version of Excel allows you to read this threaded comment; however, any edits to it will get removed if the file is opened in a newer version of Excel. Learn more: https://go.microsoft.com/fwlink/?linkid=870924
Comment:
    It’s unclear how 512 ResNet18 features were extracted from various timeseries spatial data</t>
      </text>
    </comment>
    <comment ref="P151" authorId="51" shapeId="0" xr:uid="{94325C28-0555-4441-BBA4-D8DCB054C488}">
      <text>
        <t>[Threaded comment]
Your version of Excel allows you to read this threaded comment; however, any edits to it will get removed if the file is opened in a newer version of Excel. Learn more: https://go.microsoft.com/fwlink/?linkid=870924
Comment:
    Architecture is over-complicated and taking into consideration issues with data preprocessing and training details we do not delve into analyzing the proposed architecture</t>
      </text>
    </comment>
    <comment ref="Q151" authorId="52" shapeId="0" xr:uid="{DAB292EC-01D7-454E-AA87-615A8598FE27}">
      <text>
        <t>[Threaded comment]
Your version of Excel allows you to read this threaded comment; however, any edits to it will get removed if the file is opened in a newer version of Excel. Learn more: https://go.microsoft.com/fwlink/?linkid=870924
Comment:
    Lack of training-related details (number of epochs, optimizer)</t>
      </text>
    </comment>
    <comment ref="R151" authorId="53" shapeId="0" xr:uid="{6C749010-EDC1-4C8E-9FA8-809AD6D15563}">
      <text>
        <t xml:space="preserve">[Threaded comment]
Your version of Excel allows you to read this threaded comment; however, any edits to it will get removed if the file is opened in a newer version of Excel. Learn more: https://go.microsoft.com/fwlink/?linkid=870924
Comment:
    Convergence criteria are not disclosed. </t>
      </text>
    </comment>
    <comment ref="M155" authorId="54" shapeId="0" xr:uid="{2D0465DD-01ED-4968-B70D-F5AFE1CE25E5}">
      <text>
        <t>[Threaded comment]
Your version of Excel allows you to read this threaded comment; however, any edits to it will get removed if the file is opened in a newer version of Excel. Learn more: https://go.microsoft.com/fwlink/?linkid=870924
Comment:
    Exhaustive description of the data preprocessing</t>
      </text>
    </comment>
    <comment ref="P155" authorId="55" shapeId="0" xr:uid="{B2D44447-2C3E-4FD9-8E11-0F7603F8B958}">
      <text>
        <t>[Threaded comment]
Your version of Excel allows you to read this threaded comment; however, any edits to it will get removed if the file is opened in a newer version of Excel. Learn more: https://go.microsoft.com/fwlink/?linkid=870924
Comment:
    Equation 1 presents operations performed on input in a wrong order</t>
      </text>
    </comment>
    <comment ref="R155" authorId="56" shapeId="0" xr:uid="{226F52C7-179E-41B6-A6A9-ED3A8A1731AE}">
      <text>
        <t>[Threaded comment]
Your version of Excel allows you to read this threaded comment; however, any edits to it will get removed if the file is opened in a newer version of Excel. Learn more: https://go.microsoft.com/fwlink/?linkid=870924
Comment:
    Ablation study is performed on unknown data partition. Best model selection criteria are not disclosed</t>
      </text>
    </comment>
    <comment ref="M159" authorId="57" shapeId="0" xr:uid="{0E399AB5-F9A7-407D-A208-4A621FC75B15}">
      <text>
        <t>[Threaded comment]
Your version of Excel allows you to read this threaded comment; however, any edits to it will get removed if the file is opened in a newer version of Excel. Learn more: https://go.microsoft.com/fwlink/?linkid=870924
Comment:
    No information regarding including interviewer turns in transcripts</t>
      </text>
    </comment>
    <comment ref="Q159" authorId="58" shapeId="0" xr:uid="{1D26D19A-A93C-48F6-9EB4-99E66DEBC54F}">
      <text>
        <t>[Threaded comment]
Your version of Excel allows you to read this threaded comment; however, any edits to it will get removed if the file is opened in a newer version of Excel. Learn more: https://go.microsoft.com/fwlink/?linkid=870924
Comment:
    Authors use multitask objective, predicting binary label and phq8 score simultaneously</t>
      </text>
    </comment>
    <comment ref="U159" authorId="59" shapeId="0" xr:uid="{0B171D47-59C1-4635-9E12-DC01C92A2163}">
      <text>
        <t>[Threaded comment]
Your version of Excel allows you to read this threaded comment; however, any edits to it will get removed if the file is opened in a newer version of Excel. Learn more: https://go.microsoft.com/fwlink/?linkid=870924
Comment:
    Here we include reported averages for the hparams combination which according to the authors produced best model - fastText with mean pooling</t>
      </text>
    </comment>
    <comment ref="N161" authorId="60" shapeId="0" xr:uid="{25A8D58B-D5D2-457C-94D7-7CE4EA476FBE}">
      <text>
        <t>[Threaded comment]
Your version of Excel allows you to read this threaded comment; however, any edits to it will get removed if the file is opened in a newer version of Excel. Learn more: https://go.microsoft.com/fwlink/?linkid=870924
Comment:
    Data partitioning is not disclosed</t>
      </text>
    </comment>
    <comment ref="Q161" authorId="61" shapeId="0" xr:uid="{99DC417D-BEEC-411B-A77C-301FCA403E83}">
      <text>
        <t>[Threaded comment]
Your version of Excel allows you to read this threaded comment; however, any edits to it will get removed if the file is opened in a newer version of Excel. Learn more: https://go.microsoft.com/fwlink/?linkid=870924
Comment:
    Training details are not disclosed</t>
      </text>
    </comment>
    <comment ref="U161" authorId="62" shapeId="0" xr:uid="{C7F77C37-1972-4514-ABD4-3E233A142C77}">
      <text>
        <t>[Threaded comment]
Your version of Excel allows you to read this threaded comment; however, any edits to it will get removed if the file is opened in a newer version of Excel. Learn more: https://go.microsoft.com/fwlink/?linkid=870924
Comment:
    Reported results regard unknown partition, therefore are not included in our table</t>
      </text>
    </comment>
    <comment ref="Q162" authorId="63" shapeId="0" xr:uid="{B2D55262-5DAC-40DD-8409-2A6FDA7E4656}">
      <text>
        <t>[Threaded comment]
Your version of Excel allows you to read this threaded comment; however, any edits to it will get removed if the file is opened in a newer version of Excel. Learn more: https://go.microsoft.com/fwlink/?linkid=870924
Comment:
    Hyperparameters which achieved best performance (including number of epochs) are not disclosed
Reply:
    Multitask training</t>
      </text>
    </comment>
    <comment ref="X162" authorId="64" shapeId="0" xr:uid="{29098707-59E9-407C-B0AC-D72B9D11FB7C}">
      <text>
        <t>[Threaded comment]
Your version of Excel allows you to read this threaded comment; however, any edits to it will get removed if the file is opened in a newer version of Excel. Learn more: https://go.microsoft.com/fwlink/?linkid=870924
Comment:
    We assume that reported values regard test set, however this is not explicitly stated in the paper</t>
      </text>
    </comment>
    <comment ref="I164" authorId="65" shapeId="0" xr:uid="{17C38BA3-180B-4B77-99AC-549891FE7CA6}">
      <text>
        <t>[Threaded comment]
Your version of Excel allows you to read this threaded comment; however, any edits to it will get removed if the file is opened in a newer version of Excel. Learn more: https://go.microsoft.com/fwlink/?linkid=870924
Comment:
    Same authors and very similar architecture as in „Enhancing Depression Detection: Employing Autoencoders and Linguistic Feature Analysis with BERT and LSTM Model”
https://doi.org/10.1109/RusAutoCon58002.2023.10272795
Training models on QA pairs was also explored in previous work in this field</t>
      </text>
    </comment>
    <comment ref="M168" authorId="66" shapeId="0" xr:uid="{7E22DCD6-AB09-44C8-A2E7-5E467C0C226C}">
      <text>
        <t>[Threaded comment]
Your version of Excel allows you to read this threaded comment; however, any edits to it will get removed if the file is opened in a newer version of Excel. Learn more: https://go.microsoft.com/fwlink/?linkid=870924
Comment:
    Described video preprocessing is not applicable to DAIC-WOZ dataset, since the features are already extracted from video. BoW extraction from transcripts is vague</t>
      </text>
    </comment>
    <comment ref="P168" authorId="67" shapeId="0" xr:uid="{BA533ADF-4DF1-430B-B73B-E068D4AAD557}">
      <text>
        <t>[Threaded comment]
Your version of Excel allows you to read this threaded comment; however, any edits to it will get removed if the file is opened in a newer version of Excel. Learn more: https://go.microsoft.com/fwlink/?linkid=870924
Comment:
    Exact dimensionalities and number of layers is not disclosed</t>
      </text>
    </comment>
    <comment ref="Q168" authorId="68" shapeId="0" xr:uid="{6DEA035D-04F0-4E8A-8177-9FECB41806AA}">
      <text>
        <t>[Threaded comment]
Your version of Excel allows you to read this threaded comment; however, any edits to it will get removed if the file is opened in a newer version of Excel. Learn more: https://go.microsoft.com/fwlink/?linkid=870924
Comment:
    Training-related details are not disclosed (optimizer, learning rate, number of epochs etc)</t>
      </text>
    </comment>
    <comment ref="R168" authorId="69" shapeId="0" xr:uid="{7732DB7C-7EA3-4C92-87E5-D08E73B3E315}">
      <text>
        <t>[Threaded comment]
Your version of Excel allows you to read this threaded comment; however, any edits to it will get removed if the file is opened in a newer version of Excel. Learn more: https://go.microsoft.com/fwlink/?linkid=870924
Comment:
    Convergence and best model selection criteria are not disclosed</t>
      </text>
    </comment>
    <comment ref="M169" authorId="70" shapeId="0" xr:uid="{F3F88B72-07F2-4E31-ACE5-BB60B29C3D39}">
      <text>
        <t>[Threaded comment]
Your version of Excel allows you to read this threaded comment; however, any edits to it will get removed if the file is opened in a newer version of Excel. Learn more: https://go.microsoft.com/fwlink/?linkid=870924
Comment:
    No information regarding data preprocessing. It’s unclear how 767 BERT embeddings were extracted from transcripts and why they were identified as essential</t>
      </text>
    </comment>
    <comment ref="O169" authorId="71" shapeId="0" xr:uid="{13D0120B-D25F-4D2F-A3AA-791BDE601FB3}">
      <text>
        <t>[Threaded comment]
Your version of Excel allows you to read this threaded comment; however, any edits to it will get removed if the file is opened in a newer version of Excel. Learn more: https://go.microsoft.com/fwlink/?linkid=870924
Comment:
    Partitions disjoint level is not disclosed</t>
      </text>
    </comment>
    <comment ref="P169" authorId="72" shapeId="0" xr:uid="{C54D3268-9963-4670-885A-164043CBF2C8}">
      <text>
        <t>[Threaded comment]
Your version of Excel allows you to read this threaded comment; however, any edits to it will get removed if the file is opened in a newer version of Excel. Learn more: https://go.microsoft.com/fwlink/?linkid=870924
Comment:
    Chaotic description of the model</t>
      </text>
    </comment>
    <comment ref="Q169" authorId="73" shapeId="0" xr:uid="{9EF6F554-393B-485D-9E3E-3886A063C914}">
      <text>
        <t>[Threaded comment]
Your version of Excel allows you to read this threaded comment; however, any edits to it will get removed if the file is opened in a newer version of Excel. Learn more: https://go.microsoft.com/fwlink/?linkid=870924
Comment:
    Number of epochs and optimizer are not disclosed</t>
      </text>
    </comment>
    <comment ref="R169" authorId="74" shapeId="0" xr:uid="{6AD423DF-21DA-4C6D-953E-13FEC4D19F3B}">
      <text>
        <t>[Threaded comment]
Your version of Excel allows you to read this threaded comment; however, any edits to it will get removed if the file is opened in a newer version of Excel. Learn more: https://go.microsoft.com/fwlink/?linkid=870924
Comment:
    Convergence criteria are not disclosed.</t>
      </text>
    </comment>
    <comment ref="U169" authorId="75" shapeId="0" xr:uid="{403ACB70-1F41-4813-80CF-8874860DE1BA}">
      <text>
        <t>[Threaded comment]
Your version of Excel allows you to read this threaded comment; however, any edits to it will get removed if the file is opened in a newer version of Excel. Learn more: https://go.microsoft.com/fwlink/?linkid=870924
Comment:
    We suspect that these results are falsely reported. MAE is too small for R2 which is less than 0.7. Also comparing this to other quality works reported results do not look realistic</t>
      </text>
    </comment>
    <comment ref="O170" authorId="76" shapeId="0" xr:uid="{E34C4837-E4DE-47AC-BA53-727154261DBD}">
      <text>
        <t>[Threaded comment]
Your version of Excel allows you to read this threaded comment; however, any edits to it will get removed if the file is opened in a newer version of Excel. Learn more: https://go.microsoft.com/fwlink/?linkid=870924
Comment:
    Unclear partitions disjoint level</t>
      </text>
    </comment>
    <comment ref="Q170" authorId="77" shapeId="0" xr:uid="{BAB18B65-4E77-45A3-9A5B-0CE1BC9C8FDD}">
      <text>
        <t>[Threaded comment]
Your version of Excel allows you to read this threaded comment; however, any edits to it will get removed if the file is opened in a newer version of Excel. Learn more: https://go.microsoft.com/fwlink/?linkid=870924
Comment:
    Number of epochs for multimodal model training is not disclosed</t>
      </text>
    </comment>
    <comment ref="M171" authorId="78" shapeId="0" xr:uid="{8175C45F-5957-4219-BD23-758D4CDFBAE7}">
      <text>
        <t>[Threaded comment]
Your version of Excel allows you to read this threaded comment; however, any edits to it will get removed if the file is opened in a newer version of Excel. Learn more: https://go.microsoft.com/fwlink/?linkid=870924
Comment:
    Feature extraction for audio and video modalities is weakly described</t>
      </text>
    </comment>
    <comment ref="O171" authorId="79" shapeId="0" xr:uid="{0752A1ED-0987-4831-AD83-A7480440D908}">
      <text>
        <t>[Threaded comment]
Your version of Excel allows you to read this threaded comment; however, any edits to it will get removed if the file is opened in a newer version of Excel. Learn more: https://go.microsoft.com/fwlink/?linkid=870924
Comment:
    Partitions disjoint level is not clearly disclosed</t>
      </text>
    </comment>
    <comment ref="Q171" authorId="80" shapeId="0" xr:uid="{7793AD39-F74F-4452-BD36-4ED781EC6505}">
      <text>
        <t>[Threaded comment]
Your version of Excel allows you to read this threaded comment; however, any edits to it will get removed if the file is opened in a newer version of Excel. Learn more: https://go.microsoft.com/fwlink/?linkid=870924
Comment:
    Training details are not disclosed</t>
      </text>
    </comment>
    <comment ref="U171" authorId="81" shapeId="0" xr:uid="{16357A52-4A00-4324-8A0C-3280E49B5A6A}">
      <text>
        <t>[Threaded comment]
Your version of Excel allows you to read this threaded comment; however, any edits to it will get removed if the file is opened in a newer version of Excel. Learn more: https://go.microsoft.com/fwlink/?linkid=870924
Comment:
    Reported results regard unknown partition</t>
      </text>
    </comment>
    <comment ref="P173" authorId="82" shapeId="0" xr:uid="{FBE253FE-3884-4D6F-8EC4-64F580608B77}">
      <text>
        <t>[Threaded comment]
Your version of Excel allows you to read this threaded comment; however, any edits to it will get removed if the file is opened in a newer version of Excel. Learn more: https://go.microsoft.com/fwlink/?linkid=870924
Comment:
    Tree-based feature selection algorithm is not described. Lambda layer is not described. Parametrization is not disclosed</t>
      </text>
    </comment>
    <comment ref="Q173" authorId="83" shapeId="0" xr:uid="{B25B2ED6-91B3-44C9-8847-174EE6EAB38A}">
      <text>
        <t>[Threaded comment]
Your version of Excel allows you to read this threaded comment; however, any edits to it will get removed if the file is opened in a newer version of Excel. Learn more: https://go.microsoft.com/fwlink/?linkid=870924
Comment:
    Text embedding finetuning on conversational data is not disclosed. Lack of training details regarding audio, visual an multi- modal models. Hyperparameters tuned are not disclosed</t>
      </text>
    </comment>
    <comment ref="R173" authorId="84" shapeId="0" xr:uid="{6ECCA042-5ACE-4B4D-AB03-B8CE582ED431}">
      <text>
        <t>[Threaded comment]
Your version of Excel allows you to read this threaded comment; however, any edits to it will get removed if the file is opened in a newer version of Excel. Learn more: https://go.microsoft.com/fwlink/?linkid=870924
Comment:
    Final model selection criteria are not disclosed</t>
      </text>
    </comment>
    <comment ref="P175" authorId="85" shapeId="0" xr:uid="{DA2785B7-03AB-4BF7-81D1-C2692755B205}">
      <text>
        <t>[Threaded comment]
Your version of Excel allows you to read this threaded comment; however, any edits to it will get removed if the file is opened in a newer version of Excel. Learn more: https://go.microsoft.com/fwlink/?linkid=870924
Comment:
    Exact architecture with number of BiLSTM layers is not disclosed (hyperparams was tuned, but the best combination is not reported)</t>
      </text>
    </comment>
    <comment ref="R175" authorId="86" shapeId="0" xr:uid="{D956A544-2B20-45A1-A0B1-3AEC94DC60B2}">
      <text>
        <t>[Threaded comment]
Your version of Excel allows you to read this threaded comment; however, any edits to it will get removed if the file is opened in a newer version of Excel. Learn more: https://go.microsoft.com/fwlink/?linkid=870924
Comment:
    Hyperparameter tuning was performed, however best model selection criteria are not disclosed. Convergence criteria are vague: „[...] an early-stopping criterion of 0.001 threshold over a maximum epoch of 100 [...]”</t>
      </text>
    </comment>
    <comment ref="M176" authorId="87" shapeId="0" xr:uid="{D235CE31-05BC-4E6A-91CD-7AFEDC1FDEA0}">
      <text>
        <t>[Threaded comment]
Your version of Excel allows you to read this threaded comment; however, any edits to it will get removed if the file is opened in a newer version of Excel. Learn more: https://go.microsoft.com/fwlink/?linkid=870924
Comment:
    Described data preprocessing is not applicable to DAIC-WOZ dataset. It is also unclear whether audio features include interviewer utterances. Description of dictionaries composition from BERT is vague</t>
      </text>
    </comment>
    <comment ref="Q176" authorId="88" shapeId="0" xr:uid="{EDD049C4-92CE-402F-8933-06B5B39FC972}">
      <text>
        <t>[Threaded comment]
Your version of Excel allows you to read this threaded comment; however, any edits to it will get removed if the file is opened in a newer version of Excel. Learn more: https://go.microsoft.com/fwlink/?linkid=870924
Comment:
    Number of training epochs is not disclosed</t>
      </text>
    </comment>
    <comment ref="R176" authorId="89" shapeId="0" xr:uid="{77B1DA13-8310-45D6-B3BB-EB22D3BD4912}">
      <text>
        <t>[Threaded comment]
Your version of Excel allows you to read this threaded comment; however, any edits to it will get removed if the file is opened in a newer version of Excel. Learn more: https://go.microsoft.com/fwlink/?linkid=870924
Comment:
    Hyperparameter tuning was performed, however best model selection criteria are not disclosed: „To determine the value of N in Fig. 1, we conduct multiple experiments.”</t>
      </text>
    </comment>
    <comment ref="P180" authorId="90" shapeId="0" xr:uid="{454AD9B6-53C4-40C3-9F62-83DDE9E4A4B8}">
      <text>
        <t>[Threaded comment]
Your version of Excel allows you to read this threaded comment; however, any edits to it will get removed if the file is opened in a newer version of Excel. Learn more: https://go.microsoft.com/fwlink/?linkid=870924
Comment:
    Architecture is overcomplicated and considering issues in training description and final model selection we do not extract the model description</t>
      </text>
    </comment>
    <comment ref="Q180" authorId="91" shapeId="0" xr:uid="{A6EF5086-DFF6-4ED0-8D8F-CBC2B2AEC7AA}">
      <text>
        <t>[Threaded comment]
Your version of Excel allows you to read this threaded comment; however, any edits to it will get removed if the file is opened in a newer version of Excel. Learn more: https://go.microsoft.com/fwlink/?linkid=870924
Comment:
    It is unclear whether authors use gradient checkpointing with parameters update once every 25 epochs or they mean something else: „We perform updates every 25 epochs, with a batch size of 8 [...]”</t>
      </text>
    </comment>
    <comment ref="R180" authorId="92" shapeId="0" xr:uid="{52FEB434-B4C2-45AC-971B-0BAEAA129D25}">
      <text>
        <t>[Threaded comment]
Your version of Excel allows you to read this threaded comment; however, any edits to it will get removed if the file is opened in a newer version of Excel. Learn more: https://go.microsoft.com/fwlink/?linkid=870924
Comment:
    Hyperparameter tuning is mentioned, hovewer best model selection criteria are not provided</t>
      </text>
    </comment>
    <comment ref="U180" authorId="93" shapeId="0" xr:uid="{3AA2E6B0-D7C6-4F5B-A0CB-6BC79D420009}">
      <text>
        <t>[Threaded comment]
Your version of Excel allows you to read this threaded comment; however, any edits to it will get removed if the file is opened in a newer version of Excel. Learn more: https://go.microsoft.com/fwlink/?linkid=870924
Comment:
    Reported results regard unknown partition, however we might assume that it is was test set</t>
      </text>
    </comment>
    <comment ref="AA180" authorId="94" shapeId="0" xr:uid="{BD432027-419A-443B-831C-571E2879A436}">
      <text>
        <t>[Threaded comment]
Your version of Excel allows you to read this threaded comment; however, any edits to it will get removed if the file is opened in a newer version of Excel. Learn more: https://go.microsoft.com/fwlink/?linkid=870924
Comment:
    Repository is empty</t>
      </text>
    </comment>
    <comment ref="I181" authorId="95" shapeId="0" xr:uid="{7CF707E3-4321-44E6-8419-305986DE3066}">
      <text>
        <t>[Threaded comment]
Your version of Excel allows you to read this threaded comment; however, any edits to it will get removed if the file is opened in a newer version of Excel. Learn more: https://go.microsoft.com/fwlink/?linkid=870924
Comment:
    Almost exact same architecture as in 
„Hybrid Depression Classification and Estimation from Audio Video and Text Information”
https://doi.org/10.1145/3133944.3133950
Exact (except for lack of text modality) as in „Multimodal Measurement of Depression Using Deep Learning Models”
https://doi.org/10.1145/3133944.3133948 
Same authors, all papers published in Oct 2017</t>
      </text>
    </comment>
    <comment ref="I185" authorId="96" shapeId="0" xr:uid="{010B2439-94B1-4B52-B2A6-F6574274F4C3}">
      <text>
        <t xml:space="preserve">[Threaded comment]
Your version of Excel allows you to read this threaded comment; however, any edits to it will get removed if the file is opened in a newer version of Excel. Learn more: https://go.microsoft.com/fwlink/?linkid=870924
Comment:
    Same authors and architecture as in „Gender-aware estimation of depression severity level in a multimodal setting” with such difference that model works with no regard to gender.  
https://ieeexplore.ieee.org/abstract/document/9534330/
Hovewer this work was published earlier we still consider this as not introducing novelty.
</t>
      </text>
    </comment>
    <comment ref="M186" authorId="97" shapeId="0" xr:uid="{BCB79246-6102-45B6-BA5A-B994BCB3728F}">
      <text>
        <t>[Threaded comment]
Your version of Excel allows you to read this threaded comment; however, any edits to it will get removed if the file is opened in a newer version of Excel. Learn more: https://go.microsoft.com/fwlink/?linkid=870924
Comment:
    Data preprocessing for each modality is not described. Graph construction process from data is unclear</t>
      </text>
    </comment>
    <comment ref="N186" authorId="98" shapeId="0" xr:uid="{682A370B-46C7-4C32-859C-6B3D8AEA073C}">
      <text>
        <t>[Threaded comment]
Your version of Excel allows you to read this threaded comment; however, any edits to it will get removed if the file is opened in a newer version of Excel. Learn more: https://go.microsoft.com/fwlink/?linkid=870924
Comment:
    Data partitioning is not disclosed</t>
      </text>
    </comment>
    <comment ref="O186" authorId="99" shapeId="0" xr:uid="{7BFC5B8C-3EAD-4D37-9820-C691EAFCEEB7}">
      <text>
        <t>[Threaded comment]
Your version of Excel allows you to read this threaded comment; however, any edits to it will get removed if the file is opened in a newer version of Excel. Learn more: https://go.microsoft.com/fwlink/?linkid=870924
Comment:
    Partitions disjoint level does not result from graph construction process</t>
      </text>
    </comment>
    <comment ref="Q186" authorId="100" shapeId="0" xr:uid="{0180D274-815C-40FC-944D-5C362B36EA51}">
      <text>
        <t>[Threaded comment]
Your version of Excel allows you to read this threaded comment; however, any edits to it will get removed if the file is opened in a newer version of Excel. Learn more: https://go.microsoft.com/fwlink/?linkid=870924
Comment:
    Authors probably confuse lambda (learning rate) with Adam beta1 and beta2 parameters. Training is performed on an unknown partition</t>
      </text>
    </comment>
    <comment ref="U186" authorId="101" shapeId="0" xr:uid="{1A393B53-6B5E-4E2C-A97F-92281931E5DC}">
      <text>
        <t>[Threaded comment]
Your version of Excel allows you to read this threaded comment; however, any edits to it will get removed if the file is opened in a newer version of Excel. Learn more: https://go.microsoft.com/fwlink/?linkid=870924
Comment:
    Reported results regard unknown partition</t>
      </text>
    </comment>
    <comment ref="N188" authorId="102" shapeId="0" xr:uid="{23C80023-4329-4691-8C41-9AB9E1940322}">
      <text>
        <t>[Threaded comment]
Your version of Excel allows you to read this threaded comment; however, any edits to it will get removed if the file is opened in a newer version of Excel. Learn more: https://go.microsoft.com/fwlink/?linkid=870924
Comment:
    Data partitioning is not disclosed</t>
      </text>
    </comment>
    <comment ref="O188" authorId="103" shapeId="0" xr:uid="{81A4A647-9EE2-4F26-AC32-DF193C9CCC3E}">
      <text>
        <t>[Threaded comment]
Your version of Excel allows you to read this threaded comment; however, any edits to it will get removed if the file is opened in a newer version of Excel. Learn more: https://go.microsoft.com/fwlink/?linkid=870924
Comment:
    Partitions disjoint level is not disclosed</t>
      </text>
    </comment>
    <comment ref="P188" authorId="104" shapeId="0" xr:uid="{EA2A0425-1D5B-4FC2-9554-F9A3D5FB5EAE}">
      <text>
        <t>[Threaded comment]
Your version of Excel allows you to read this threaded comment; however, any edits to it will get removed if the file is opened in a newer version of Excel. Learn more: https://go.microsoft.com/fwlink/?linkid=870924
Comment:
    Details regarding model are not disclosed (e.g. number of layers)</t>
      </text>
    </comment>
    <comment ref="Q188" authorId="105" shapeId="0" xr:uid="{987C1560-5D37-4B0A-9715-4D8700202047}">
      <text>
        <t>[Threaded comment]
Your version of Excel allows you to read this threaded comment; however, any edits to it will get removed if the file is opened in a newer version of Excel. Learn more: https://go.microsoft.com/fwlink/?linkid=870924
Comment:
    Training process is poorly described</t>
      </text>
    </comment>
    <comment ref="R188" authorId="106" shapeId="0" xr:uid="{BF675BA8-A443-41CE-9A93-F92C533AEF11}">
      <text>
        <t>[Threaded comment]
Your version of Excel allows you to read this threaded comment; however, any edits to it will get removed if the file is opened in a newer version of Excel. Learn more: https://go.microsoft.com/fwlink/?linkid=870924
Comment:
    Lack of convergence criteria</t>
      </text>
    </comment>
    <comment ref="U188" authorId="107" shapeId="0" xr:uid="{4055D0AB-C609-43D5-87A5-980A1F5E0512}">
      <text>
        <t>[Threaded comment]
Your version of Excel allows you to read this threaded comment; however, any edits to it will get removed if the file is opened in a newer version of Excel. Learn more: https://go.microsoft.com/fwlink/?linkid=870924
Comment:
    Reported results regard unknown partition</t>
      </text>
    </comment>
    <comment ref="Q194" authorId="108" shapeId="0" xr:uid="{B55FB8D9-145D-4872-B6CA-F6DF1EFD5256}">
      <text>
        <t>[Threaded comment]
Your version of Excel allows you to read this threaded comment; however, any edits to it will get removed if the file is opened in a newer version of Excel. Learn more: https://go.microsoft.com/fwlink/?linkid=870924
Comment:
    Training-related details are not fully disclosed (number of epochs, best hyperparameters setting)</t>
      </text>
    </comment>
    <comment ref="R194" authorId="109" shapeId="0" xr:uid="{0BC9EC53-3D5C-4A1D-AA9A-0C63FBAC85E4}">
      <text>
        <t xml:space="preserve">[Threaded comment]
Your version of Excel allows you to read this threaded comment; however, any edits to it will get removed if the file is opened in a newer version of Excel. Learn more: https://go.microsoft.com/fwlink/?linkid=870924
Comment:
    Convergence and best model selection criteria are not disclosed.  </t>
      </text>
    </comment>
    <comment ref="Q206" authorId="110" shapeId="0" xr:uid="{544DC78A-AF99-4622-B528-719182482E72}">
      <text>
        <t>[Threaded comment]
Your version of Excel allows you to read this threaded comment; however, any edits to it will get removed if the file is opened in a newer version of Excel. Learn more: https://go.microsoft.com/fwlink/?linkid=870924
Comment:
    Lack of training-related details (learning rate, dropout, number of epochs). Tuned hyperparameters are not disclosed</t>
      </text>
    </comment>
    <comment ref="R206" authorId="111" shapeId="0" xr:uid="{9F468C17-4238-4301-B5A6-B6CF18C1B320}">
      <text>
        <t>[Threaded comment]
Your version of Excel allows you to read this threaded comment; however, any edits to it will get removed if the file is opened in a newer version of Excel. Learn more: https://go.microsoft.com/fwlink/?linkid=870924
Comment:
    Lack of convergence criteria</t>
      </text>
    </comment>
    <comment ref="U206" authorId="112" shapeId="0" xr:uid="{0CF30255-8A3D-4919-9233-FFF88F64BDEC}">
      <text>
        <t>[Threaded comment]
Your version of Excel allows you to read this threaded comment; however, any edits to it will get removed if the file is opened in a newer version of Excel. Learn more: https://go.microsoft.com/fwlink/?linkid=870924
Comment:
    Reported results regard unknown partition</t>
      </text>
    </comment>
    <comment ref="AB206" authorId="113" shapeId="0" xr:uid="{7108276D-7BAD-4C60-8328-BCB059D3D8F0}">
      <text>
        <t>[Threaded comment]
Your version of Excel allows you to read this threaded comment; however, any edits to it will get removed if the file is opened in a newer version of Excel. Learn more: https://go.microsoft.com/fwlink/?linkid=870924
Comment:
    Crossval was used on training set for hyperparameters tuning, however tuned hyperparameters are not disclosed</t>
      </text>
    </comment>
    <comment ref="Q208" authorId="114" shapeId="0" xr:uid="{C5F1093F-9A67-46F1-BB46-E2ED57133E58}">
      <text>
        <t xml:space="preserve">[Threaded comment]
Your version of Excel allows you to read this threaded comment; however, any edits to it will get removed if the file is opened in a newer version of Excel. Learn more: https://go.microsoft.com/fwlink/?linkid=870924
Comment:
    Linear Regression is trained over selected features. </t>
      </text>
    </comment>
    <comment ref="U208" authorId="115" shapeId="0" xr:uid="{7E8CE905-D68B-46B6-BF95-92BB9D2FA33E}">
      <text>
        <t>[Threaded comment]
Your version of Excel allows you to read this threaded comment; however, any edits to it will get removed if the file is opened in a newer version of Excel. Learn more: https://go.microsoft.com/fwlink/?linkid=870924
Comment:
    These results are for Linear Regression with Pearson Correlation for features selection</t>
      </text>
    </comment>
    <comment ref="R210" authorId="116" shapeId="0" xr:uid="{95F9FDCB-C409-4D61-9B8E-6A459F2B95EA}">
      <text>
        <t>[Threaded comment]
Your version of Excel allows you to read this threaded comment; however, any edits to it will get removed if the file is opened in a newer version of Excel. Learn more: https://go.microsoft.com/fwlink/?linkid=870924
Comment:
    We assume that term „evaluation” here relates to development set, since reported results regard test set.</t>
      </text>
    </comment>
    <comment ref="P231" authorId="117" shapeId="0" xr:uid="{53A145EB-5B5C-43AF-8DE6-CF60C8320023}">
      <text>
        <t>[Threaded comment]
Your version of Excel allows you to read this threaded comment; however, any edits to it will get removed if the file is opened in a newer version of Excel. Learn more: https://go.microsoft.com/fwlink/?linkid=870924
Comment:
    Number of model layers is not disclosed</t>
      </text>
    </comment>
    <comment ref="Q231" authorId="118" shapeId="0" xr:uid="{2C5027EE-E875-4E68-BDE4-419515D07511}">
      <text>
        <t>[Threaded comment]
Your version of Excel allows you to read this threaded comment; however, any edits to it will get removed if the file is opened in a newer version of Excel. Learn more: https://go.microsoft.com/fwlink/?linkid=870924
Comment:
    Lack of training-related details (e.g. number of epochs. Optimization of layers number N is unclear: „best value N is determined from optimizing on heldout data” since „heldout data” refers to an unknown data partition</t>
      </text>
    </comment>
    <comment ref="M242" authorId="119" shapeId="0" xr:uid="{3E8368AE-4C76-4EE5-9606-A227752F0E4D}">
      <text>
        <t>[Threaded comment]
Your version of Excel allows you to read this threaded comment; however, any edits to it will get removed if the file is opened in a newer version of Excel. Learn more: https://go.microsoft.com/fwlink/?linkid=870924
Comment:
    Data preprocessing is not disclosed</t>
      </text>
    </comment>
    <comment ref="O242" authorId="120" shapeId="0" xr:uid="{67041EBC-E75E-4F20-A731-06D3FD083A42}">
      <text>
        <t>[Threaded comment]
Your version of Excel allows you to read this threaded comment; however, any edits to it will get removed if the file is opened in a newer version of Excel. Learn more: https://go.microsoft.com/fwlink/?linkid=870924
Comment:
    Partitions disjoint level is not disclosed</t>
      </text>
    </comment>
    <comment ref="P242" authorId="121" shapeId="0" xr:uid="{0E49BF83-321E-4A50-8AA1-E7AA54FCF4BF}">
      <text>
        <t>[Threaded comment]
Your version of Excel allows you to read this threaded comment; however, any edits to it will get removed if the file is opened in a newer version of Excel. Learn more: https://go.microsoft.com/fwlink/?linkid=870924
Comment:
    It’s unclear how a ResNet is applied to video modality, which in DAIC-WOZ does not consist of raw video but extracted features</t>
      </text>
    </comment>
    <comment ref="R242" authorId="122" shapeId="0" xr:uid="{498C9FC9-A5A7-4224-B16F-D5EF190BF23C}">
      <text>
        <t>[Threaded comment]
Your version of Excel allows you to read this threaded comment; however, any edits to it will get removed if the file is opened in a newer version of Excel. Learn more: https://go.microsoft.com/fwlink/?linkid=870924
Comment:
    Some of the hyperparameters are optimized using grid search: „The selection of gamma and cost from the KELM model parameter is made by adopting a grid search technique [...]”, however the best model selection criteria are not disclosed</t>
      </text>
    </comment>
    <comment ref="U242" authorId="123" shapeId="0" xr:uid="{7B53DDEA-4529-4810-A667-A80E6935CBB7}">
      <text>
        <t>[Threaded comment]
Your version of Excel allows you to read this threaded comment; however, any edits to it will get removed if the file is opened in a newer version of Excel. Learn more: https://go.microsoft.com/fwlink/?linkid=870924
Comment:
    Inconsistencies between table 12 and fig 10. Reported metrics in two places differ by one order of magnitude. Therefore, we do not include these results in our table</t>
      </text>
    </comment>
    <comment ref="M258" authorId="124" shapeId="0" xr:uid="{13E15B68-D8EB-453F-A440-8ADF91D209FE}">
      <text>
        <t>[Threaded comment]
Your version of Excel allows you to read this threaded comment; however, any edits to it will get removed if the file is opened in a newer version of Excel. Learn more: https://go.microsoft.com/fwlink/?linkid=870924
Comment:
    Described data preprocessing is not applicable to DAIC-WOZ dataset</t>
      </text>
    </comment>
    <comment ref="Q258" authorId="125" shapeId="0" xr:uid="{362F1E12-AE78-415F-A6CC-0AB28016237B}">
      <text>
        <t>[Threaded comment]
Your version of Excel allows you to read this threaded comment; however, any edits to it will get removed if the file is opened in a newer version of Excel. Learn more: https://go.microsoft.com/fwlink/?linkid=870924
Comment:
    Number of training epochs is not disclosed</t>
      </text>
    </comment>
    <comment ref="R258" authorId="126" shapeId="0" xr:uid="{6431F48F-4542-493A-9EE5-316D908FE3DB}">
      <text>
        <t>[Threaded comment]
Your version of Excel allows you to read this threaded comment; however, any edits to it will get removed if the file is opened in a newer version of Excel. Learn more: https://go.microsoft.com/fwlink/?linkid=870924
Comment:
    Convergence criteria are not disclosed</t>
      </text>
    </comment>
    <comment ref="N259" authorId="127" shapeId="0" xr:uid="{3E032A8A-B784-48B5-818D-94D4D4B26CD3}">
      <text>
        <t>[Threaded comment]
Your version of Excel allows you to read this threaded comment; however, any edits to it will get removed if the file is opened in a newer version of Excel. Learn more: https://go.microsoft.com/fwlink/?linkid=870924
Comment:
    Data partitioning is not disclosed</t>
      </text>
    </comment>
    <comment ref="P259" authorId="128" shapeId="0" xr:uid="{52E93B78-620B-48BF-B267-15F47AB8F619}">
      <text>
        <t>[Threaded comment]
Your version of Excel allows you to read this threaded comment; however, any edits to it will get removed if the file is opened in a newer version of Excel. Learn more: https://go.microsoft.com/fwlink/?linkid=870924
Comment:
    Hyperparameters of the model are not disclosed</t>
      </text>
    </comment>
    <comment ref="Q259" authorId="129" shapeId="0" xr:uid="{74A938EB-68A3-4EE7-A92B-0CEFAABAEF51}">
      <text>
        <t>[Threaded comment]
Your version of Excel allows you to read this threaded comment; however, any edits to it will get removed if the file is opened in a newer version of Excel. Learn more: https://go.microsoft.com/fwlink/?linkid=870924
Comment:
    Lack of training-related details (number of epochs, learning rate)</t>
      </text>
    </comment>
    <comment ref="K276" authorId="130" shapeId="0" xr:uid="{106E5C7D-D279-41F4-B8E3-B8E09333BA76}">
      <text>
        <t>[Threaded comment]
Your version of Excel allows you to read this threaded comment; however, any edits to it will get removed if the file is opened in a newer version of Excel. Learn more: https://go.microsoft.com/fwlink/?linkid=870924
Comment:
    Page not exist</t>
      </text>
    </comment>
    <comment ref="Q318" authorId="131" shapeId="0" xr:uid="{4E047EE5-FFE7-4206-9BFC-6B1D09F1CD6E}">
      <text>
        <t>[Threaded comment]
Your version of Excel allows you to read this threaded comment; however, any edits to it will get removed if the file is opened in a newer version of Excel. Learn more: https://go.microsoft.com/fwlink/?linkid=870924
Comment:
    Optimization method for DCGAN training is not disclosed</t>
      </text>
    </comment>
    <comment ref="Q338" authorId="132" shapeId="0" xr:uid="{0C8FFD74-B105-4CAA-8C87-BA60A96B0B98}">
      <text>
        <t>[Threaded comment]
Your version of Excel allows you to read this threaded comment; however, any edits to it will get removed if the file is opened in a newer version of Excel. Learn more: https://go.microsoft.com/fwlink/?linkid=870924
Comment:
    SGD training details is not disclosed</t>
      </text>
    </comment>
    <comment ref="R338" authorId="133" shapeId="0" xr:uid="{3508F62D-E515-44FB-8EE2-0878A20159D0}">
      <text>
        <t>[Threaded comment]
Your version of Excel allows you to read this threaded comment; however, any edits to it will get removed if the file is opened in a newer version of Excel. Learn more: https://go.microsoft.com/fwlink/?linkid=870924
Comment:
    Best model selection criteria are not disclosed</t>
      </text>
    </comment>
    <comment ref="E347" authorId="134" shapeId="0" xr:uid="{9B68B1A4-6F77-4C20-83B9-932BBA13DBFA}">
      <text>
        <t>[Threaded comment]
Your version of Excel allows you to read this threaded comment; however, any edits to it will get removed if the file is opened in a newer version of Excel. Learn more: https://go.microsoft.com/fwlink/?linkid=870924
Comment:
    Number of papers with no decision provided yet due to the issues with retrieving the document</t>
      </text>
    </comment>
    <comment ref="G347" authorId="135" shapeId="0" xr:uid="{9EE4B5EC-C74D-4ACE-A823-A5A9548E0488}">
      <text>
        <t xml:space="preserve">[Threaded comment]
Your version of Excel allows you to read this threaded comment; however, any edits to it will get removed if the file is opened in a newer version of Excel. Learn more: https://go.microsoft.com/fwlink/?linkid=870924
Comment:
    Does not regard DAIC-WOZ dataset </t>
      </text>
    </comment>
    <comment ref="H347" authorId="136" shapeId="0" xr:uid="{2A88D3A4-3D01-4A31-9D88-4DB18487C5CC}">
      <text>
        <t>[Threaded comment]
Your version of Excel allows you to read this threaded comment; however, any edits to it will get removed if the file is opened in a newer version of Excel. Learn more: https://go.microsoft.com/fwlink/?linkid=870924
Comment:
    Does not use Mean Absolute Error 
(MAE) to assess estimation quality</t>
      </text>
    </comment>
    <comment ref="I347" authorId="137" shapeId="0" xr:uid="{DA3EDAE9-AD1D-4518-A404-A0062D753D4F}">
      <text>
        <t>[Threaded comment]
Your version of Excel allows you to read this threaded comment; however, any edits to it will get removed if the file is opened in a newer version of Excel. Learn more: https://go.microsoft.com/fwlink/?linkid=870924
Comment:
    Does not introduce a new model 
or repurpose an existing model</t>
      </text>
    </comment>
    <comment ref="J347" authorId="138" shapeId="0" xr:uid="{4A25A468-1073-4BD0-9363-2EA8C91917EF}">
      <text>
        <t>[Threaded comment]
Your version of Excel allows you to read this threaded comment; however, any edits to it will get removed if the file is opened in a newer version of Excel. Learn more: https://go.microsoft.com/fwlink/?linkid=870924
Comment:
    Not in English</t>
      </text>
    </comment>
    <comment ref="K347" authorId="139" shapeId="0" xr:uid="{AEABD4DE-B112-4A6A-9CEE-C655D1C68564}">
      <text>
        <t>[Threaded comment]
Your version of Excel allows you to read this threaded comment; however, any edits to it will get removed if the file is opened in a newer version of Excel. Learn more: https://go.microsoft.com/fwlink/?linkid=870924
Comment:
    Records not retrieved during full text screening phase</t>
      </text>
    </comment>
    <comment ref="N347" authorId="140" shapeId="0" xr:uid="{F8491903-E287-4F11-BBFA-AC518C5B5DF8}">
      <text>
        <t>[Threaded comment]
Your version of Excel allows you to read this threaded comment; however, any edits to it will get removed if the file is opened in a newer version of Excel. Learn more: https://go.microsoft.com/fwlink/?linkid=870924
Comment:
    Does not use Mean Absolute Error 
(MAE) to assess estimation quality</t>
      </text>
    </comment>
    <comment ref="A348" authorId="141" shapeId="0" xr:uid="{B371964B-2AAC-4AC9-A5AE-70545583CE99}">
      <text>
        <t>[Threaded comment]
Your version of Excel allows you to read this threaded comment; however, any edits to it will get removed if the file is opened in a newer version of Excel. Learn more: https://go.microsoft.com/fwlink/?linkid=870924
Comment:
    All of these are different names of the same dataset
Reply:
    Other names refer to different datasets which we exclude in this review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tc={9517F61E-8098-4492-A4F1-E67F7A5866D4}</author>
    <author>tc={EF9FE58F-6167-4A1B-B82A-6CBDF41268F5}</author>
    <author>tc={B42F6DAD-BFC4-408B-92EB-2EE8848EB4FF}</author>
    <author>tc={50F4A57F-C039-4279-8DAD-E91E4F6A4CCD}</author>
  </authors>
  <commentList>
    <comment ref="C3" authorId="0" shapeId="0" xr:uid="{9517F61E-8098-4492-A4F1-E67F7A5866D4}">
      <text>
        <t xml:space="preserve">[Threaded comment]
Your version of Excel allows you to read this threaded comment; however, any edits to it will get removed if the file is opened in a newer version of Excel. Learn more: https://go.microsoft.com/fwlink/?linkid=870924
Comment:
    Papers for title and abstract screening </t>
      </text>
    </comment>
    <comment ref="C4" authorId="1" shapeId="0" xr:uid="{EF9FE58F-6167-4A1B-B82A-6CBDF41268F5}">
      <text>
        <t>[Threaded comment]
Your version of Excel allows you to read this threaded comment; however, any edits to it will get removed if the file is opened in a newer version of Excel. Learn more: https://go.microsoft.com/fwlink/?linkid=870924
Comment:
    Papers for full-text screening</t>
      </text>
    </comment>
    <comment ref="C5" authorId="2" shapeId="0" xr:uid="{B42F6DAD-BFC4-408B-92EB-2EE8848EB4FF}">
      <text>
        <t>[Threaded comment]
Your version of Excel allows you to read this threaded comment; however, any edits to it will get removed if the file is opened in a newer version of Excel. Learn more: https://go.microsoft.com/fwlink/?linkid=870924
Comment:
    Irrelevant title and/or abstract</t>
      </text>
    </comment>
    <comment ref="D7" authorId="3" shapeId="0" xr:uid="{50F4A57F-C039-4279-8DAD-E91E4F6A4CCD}">
      <text>
        <t>[Threaded comment]
Your version of Excel allows you to read this threaded comment; however, any edits to it will get removed if the file is opened in a newer version of Excel. Learn more: https://go.microsoft.com/fwlink/?linkid=870924
Comment:
    Records not retrieved.</t>
      </text>
    </comment>
  </commentList>
</comments>
</file>

<file path=xl/sharedStrings.xml><?xml version="1.0" encoding="utf-8"?>
<sst xmlns="http://schemas.openxmlformats.org/spreadsheetml/2006/main" count="2052" uniqueCount="957">
  <si>
    <t>Hierarchical Attention Transfer Networks for Depression Assessment from Speech</t>
  </si>
  <si>
    <t>https://doi.org/10.1109/ICASSP40776.2020.9053207</t>
  </si>
  <si>
    <t>Scopus</t>
  </si>
  <si>
    <t>A growing area of mental health research is the search for speech-based objective markers for conditions such as depression. However, when combined with machine learning, this search can be challenging due to a limited amount of annotated training data. In this paper, we propose a novel crosstask approach which transfers attention mechanisms from speech recognition to aid depression severity measurement. This transfer is applied in a two-level hierarchical network which mirrors the natural hierarchical structure of speech. Experiments based on the Distress Analysis Interview Corpus-Wizard of Oz (DAIC-WOZ) dataset, as used in the 2017 Audio/Visual Emotion Challenge, demonstrate the effectiveness of our Hierarchical Attention Transfer Network. On the development set, the proposed approach achieves a root mean square error (RMSE) of 3.85, and a mean absolute error (MAE) of 2.99, on a Patient Health Questionnaire (PHQ)-8 scale [0], [24], while on the test set, it achieves an RMSE of 5.66 and an MAE of 4.28. To the best of our knowledge, these scores represent the best-known speech-only results to date on this corpus. © 2020 IEEE.</t>
  </si>
  <si>
    <t>PointTransform Networks for automatic depression level prediction via facial keypoints</t>
  </si>
  <si>
    <t>https://doi.org/10.1016/j.knosys.2024.111951</t>
  </si>
  <si>
    <t>ScienceDirect</t>
  </si>
  <si>
    <t>According to physiological reports, individuals with different levels of depression present various facial dynamic patterns. Thus, researchers have examined facial changes to predict depression severity. However, they often use facial images or videos of the subjects, which increases the risk of privacy leakage. Therefore, we intend to use the mixer layer to process facial keypoint sequences to predict the depression levels. However, the mixer layer cannot guarantee that the output and input sequences have the same temporal properties, which prevents the residual connection from being additive in a physical sense. To this end, we construct a PointTransform Network (PTN). In the constructed model, a Mixer Attention Layer (MAL) and a Token Sequence Aggregation (TSA) module are proposed. The proposed MAL embeds the results of channel-communication and token-communication into the sequence in the form of weights through the attention mechanism, which maintains the temporal order among tokens in the sequence during the calculation process and compensates for the limitations of the mixer layer. The proposed TSA module can integrate the depression level prediction results of all facial keypoints through the attention mechanism. Therefore, the TSA module achieves the unity of decision-level fusion and tensor vectorization. Experiments are conducted on several benchmark databases and the results demonstrate the effectiveness of our method.</t>
  </si>
  <si>
    <t>Image processing system for velocity measurements in natural convection flows</t>
  </si>
  <si>
    <t>https://doi.org/10.1016/0029-5493(91)90270-R</t>
  </si>
  <si>
    <t>An image processing system based on a particle-tracking method has been developed to measure quantitatively at one time the two-dimensional velocity components arising in natural convection flows. The analysis of the image data proceeds automatically, due in part to the video recording system utilized in our method. The image processing system was applied to the natural convection flows in a 1/10 scale basic reactor model. The velocity vectors and the vorticities were obtained under transient and steady states in different experimental cases, enabling us to examine in detail the transition of the flow patterns and other aspects under different experimental conditions. The uncertainty of this system was evaluated for use in our experiments and it was confirmed that the margin of error is acceptable.</t>
  </si>
  <si>
    <t>Multilevel depression status detection based on fine-grained prompt learning</t>
  </si>
  <si>
    <t>https://doi.org/10.1016/j.patrec.2024.01.005</t>
  </si>
  <si>
    <t>As a common psychological disorder, depression is generally detected based on scales and interviews, which are often affected by subjective or environmental factors. In order to assist in the diagnosis, automatic depression detection (ADD) is developed to provide an objective, efficient, and convenient technique based on the analysis of different psychophysiological data. Among them, text is one of the most frequently used modalities in the research field of ADD. Despite its success, several key issues still need to be addressed. Specifically, binary detection performed in the classical ADD methods cannot satisfy the demand for early detection tasks. Therefore, a more fine-grained analysis of depression status is highly needed. Moreover, due to factors such as small dataset size and improper organization of interview texts by selecting response texts only or choosing topics subjectively, insufficient learnable representations for depression detection are inevitable. To tackle these issues, we propose a multilevel depression status detection approach based on fine-grained prompt learning, called MDSD-FGPL. In our method, we design multiple sets of prompts from coarse-grained to fine-grained and therefore train the language model with features extracted from different depressive levels. We also reorganize the interview text at the question-response level and utilize the attention mechanism to capture and fuse the key features. Specifically, two model branches are constructed based on pre-trained language models for extracting comprehensive semantic features and depression-specific semantic tendencies, respectively. Our method was evaluated on the DAIC-WOZ dataset, showing satisfying performance in fine-grained depression detection. Additionally, our method achieves a state-of-the-art F1-score of 0.8276 in the coarse-grained binary classification.</t>
  </si>
  <si>
    <t>A random forest regression method with selected-text feature for depression assessment</t>
  </si>
  <si>
    <t>https://doi.org/10.1145/3133944.3133951</t>
  </si>
  <si>
    <t>Audio/visual and mood disorder cues have been recently explored to assist psychologists and psychiatrists in Depression Diagnosis. in this paper, we propose a random forest method with a Selected-Text feature which is according to the analysis on the transcript in different depressive levels. The files are consisted of sleep quality, PTSD/Depression Diagnostic, successive treatment, personal preference and feeling. Experiments are carried out on the Distress Analysis Interview Corpus-Wizard of Oz (DAIC-WOZ) database[6]. Comparing with results obtained with audio based, video based or multi-feature based cascade decision-level fusion features, Selected-Text feature based method has obtained very promising results on the development and test sets. The root mean square error(RMSE) reaches 4.7, and mean absolute error(MAE) reaches 3.9, which are better than the baseline result, i.e. 7.05/5.66. © 2017 Copyright held by the owner/author(s).</t>
  </si>
  <si>
    <t>MPDRM: A Multi-Scale Personalized Depression Recognition Model via facial movements</t>
  </si>
  <si>
    <t>https://doi.org/10.1016/j.neucom.2025.129669</t>
  </si>
  <si>
    <t>Automatic depression recognition based on facial movements in videos has become a research hotspot. However, existing methods tend to confuse individual inherent facial behavioral habits with characteristics specific to depression, which leads to misjudgments. To address this, we propose a Multi-scale Personalized Depression Recognition Model (MPDRM) that mitigates the negative impact of individual differences, enabling the model to focus on general and robust facial depression cues. The proposed model consists of three main components: the Multi-scale Depression Feature Network (MDFN), the Multi-scale Personality Feature Network (MPFN), and the Relational Attention Recognition Module (RARM). The MDFN extracts depression-related information, while the contrastive learning-based MPFN extracts stable personalized information. In both MDFN and MPFN, we insert the Multi-scale Motion Pattern Extraction Module (MMP) to capture rich multi-scale spatiotemporal facial features. Finally, the RARM is designed to enhance the representation of depression and output the results. Cross-validation on a specifically constructed longitudinal dataset demonstrates that our model outperforms other models. Experimental results indicate that suppressing personalized information of facial movements can effectively improve the accuracy of depression recognition.</t>
  </si>
  <si>
    <t>Conversational assessment using artificial intelligence is as clinically useful as depression scales and preferred by users</t>
  </si>
  <si>
    <t>https://doi.org/10.1016/j.jad.2024.01.212</t>
  </si>
  <si>
    <t>Background</t>
  </si>
  <si>
    <t>An automatic diagnostic network using skew-robust adversarial discriminative domain adaptation to evaluate the severity of depression</t>
  </si>
  <si>
    <t>https://doi.org/10.1016/j.cmpb.2019.01.006</t>
  </si>
  <si>
    <t>Background and Objective</t>
  </si>
  <si>
    <t>FPT-Former: A Flexible Parallel Transformer of Recognizing Depression by Using Audiovisual Expert-Knowledge-Based Multimodal Measures</t>
  </si>
  <si>
    <t>https://doi.org/10.1155/2024/1564574</t>
  </si>
  <si>
    <t>Background and Objective. Currently, depression is a widespread global issue that imposes a significant burden and disability on individuals, families, and society. Deep learning (DL) has emerged as a valuable approach for automatically detecting depression by extracting cues from audiovisual data and making a diagnosis. PHQ-8 is considered a validated diagnostic tool for depressive disorders in clinical studies, and the objective of this experiment is to improve the accuracy of PHQ-8 prediction. Furthermore, this paper aims to demonstrate the effectiveness of expert knowledge in depression diagnosis and discuss a novel multimodal network architecture. Methods. This research paper focuses on multimodal depression analysis, proposing a flexible parallel transformer (FPT) model capable of extracting data from three distinct modalities (i.e., one video and two audio descriptors). The FPT-Former model incorporates three paths, each using expert-knowledge-based descriptors from one modality as inputs. These descriptors are represented into 32 features by the encoder part of a transformer module, and these features are fused to realize the final regression of PHQ-8 score. The extended distress analysis interview corpus (E-DAIC) is an expansion of WOZ-DAIC which comprises semiclinical interviews intended to assist in the diagnosis of psychological distress conditions. It encompasses a sample size of 275 participants, and in this study, it was utilized to test the model in a way of 10-fold cross-validation. Results. The FPT presented herein achieved comparable performance to the state-of-the-art works, with a root mean square error (RMSE) of 4.80 and a mean absolute error (MAE) of 4.58. The ablation experiments demonstrate that the three-modality-fused model outperforms other two-modality-fused and single-modality models. While using a PHQ-8 score threshold of 10, the accuracy of the depression classification is 0.79. Conclusions. Leveraging the strength of expert-knowledge-based multimodal measures and parallel transformer structure, the FPT model exhibits promising performance in depression detection. This model improved the accuracy of depression diagnosis through audio and video, and it also proved the effectiveness of using expert-knowledge in the diagnosis of depression. The traits of flexible structure, high predictive efficiency, and secure privacy protection make our model a promotable intelligent system in mental healthcare. © 2024 Yifu Li et al.</t>
  </si>
  <si>
    <t>Improving depression prediction using a novel feature selection algorithm coupled with context-aware analysis</t>
  </si>
  <si>
    <t>https://doi.org/10.1016/j.jad.2021.09.001</t>
  </si>
  <si>
    <t>Background: Developing machine learning based depression prediction method with information from long-term recordings is important and challenging to clinical diagnosis of depression. Methods: We developed a novel two-stage feature selection algorithm conducted on the high-dimensional (over thirty thousand) features constructed by a context-aware analysis on the data set of DAIC-WOZ, including audio, video, and semantic features. The prediction performance was compared with seven reference models. The preferred topics and feature categories related to the retained features were also analyzed respectively. Results: Parsimonious subsets (tens of features) were selected by the proposed method in each case of prediction. We obtained the best performance in depression classification with F1-score as 0.96 (0.67), Precision as 1.00 (0.63), and Recall as 0.92 (0.71) on the development set (test set). We also achieved promising results in depression severity estimation with RMSE as 4.43 (5.11) and MAE as 3.22 (3.98), having a marginal difference with the best reference model (random forest with ‘Selected-Text’ features). Five most important topics related to depression were revealed. The audio features were predominant to the other feature categories in depression classification while the contributions of the three feature categories to severity estimation were almost equal. Limitations: More depression samples in the database we used should be further included. The second stage of feature selection is relatively time-consuming. Conclusion: This pipeline of depression recognition as well as the preferred topics and feature categories are expected to be useful in supporting the diagnosis of psychological distress conditions.</t>
  </si>
  <si>
    <t>Multi-feature deep supervised voiceprint adversarial network for depression recognition from speech</t>
  </si>
  <si>
    <t>https://doi.org/10.1016/j.bspc.2023.105704</t>
  </si>
  <si>
    <t>Depression can induce a range of physiological effects, leading to notable distinctions in the acoustic characteristics exhibited by individuals with depression as opposed to those without. Designing efficient algorithms to accurately identify depression through speech poses a formidable challenge. In this paper, we propose the Multi-Feature Deep Supervised Voiceprint Adversarial Network (MFDS-VAN) for audio-based depression recognition. The MFDS-VAN assimilates extracted acoustic features and the audio waveform, subsequently generating predictions regarding the depression score. In order to attain more robust and discriminative spatial–temporal features associated with depression, the Encoding Network module merges long-term and short-term acoustic features with the unprocessed audio waveform, while the Regression Network module enables the prediction of the depression score. The Deep Supervised Regression algorithm is designed by combining GE2E clustering and Huber regression for better network optimization. Furthermore, to enhance the representation of the MFDS-VAN while diminishing the influence of individual voiceprint information, we propose the Voiceprint Adversarial Network. Experimental results conducted on AVEC 2013, AVEC 2014, and AVEC 2017 datasets demonstrate that the MFDS-VAN significantly enhances robustness and performance in speech-based depression recognition. Our model achieves competitive results when compared to recent audio-based methodologies.</t>
  </si>
  <si>
    <t>PIE: A Personalized Information Embedded model for text-based depression detection</t>
  </si>
  <si>
    <t>https://doi.org/10.1016/j.ipm.2024.103830</t>
  </si>
  <si>
    <t>Depression detection based on text analysis has emerged as a research hotspot. Existing research indicates that patients’ personalized characteristics are the primary factor contributing to differences in reported experiences, which poses challenges for automated depression detection methods. To address this, we pioneered defining the fundamental components of personalized information within the text-based depression detection field and proposed the Personalized Information Embedding (PIE) model. The model narrows the gap between generic clinical symptoms and personalized patient experiences in detection, introducing a novel method for computing personalized information representations. Then, we constructed a unique depression intervention dataset containing 108 cases of subjects, the first longitudinally gathering experimental dataset in text-based depression detection. Extensive experimental evidence demonstrates that compared to advanced models, PIE demonstrates statistically significant improvements in performance (with the maximum reductions in RMSE of 0.309 and MAE of 0.232) and generalizability (with standard deviation reductions in RMSE by 75.43% and MAE by 69.77%), and the out-of-domain generalizability of personalized information representations has been validated on two larger external datasets. Additionally, we conducted case studies to analyze how personalized information leads to improved model capabilities. This research serves as a pilot and reference for developing personalized models in text-based depression detection.</t>
  </si>
  <si>
    <t>Autoencoder based on cepstrum separation to detect depression from speech</t>
  </si>
  <si>
    <t>https://doi.org/10.1145/3452940.3453038</t>
  </si>
  <si>
    <t>Depression has become a common mental disorder that plagues more and more people. This paper uses speech signals to study a method for predicting the degree of depression and help clinicians judge the degree of depression in patients. In this paper, a autoencoder model based on Bidirectional Gated Recurrent Unit (BiGRU) is proposed to extract deep speech features, with the original speech as the network input, the signal after the cepstrum separation as the training target. In this model, we take the original speech as the input of the network, and the homomorphic speech as the training target of the model. The long-term deep features extracted by the model and the short-time shallow features extracted by the Opensmile toolkit were sent into Random Forest (RF) respectively, and finally the Support Vector Regression (SVR) was used for decision fusion recognition. In this paper, experiments are conducted on the DAIC-WOZ data set, and the Root Mean Square Error (RMSE) is 5.68 and the Mean Absolute Error (MAE) is 4.64. © 2020 ACM.</t>
  </si>
  <si>
    <t>Facial action units guided graph representation learning for multimodal depression detection</t>
  </si>
  <si>
    <t>https://doi.org/10.1016/j.neucom.2024.129106</t>
  </si>
  <si>
    <t>Depression has become highly prevalent worldwide. Applying technological solutions to compensate for limited resources is crucial for enabling improved early detection and intervention of depressive emotions. Facial expressions and speech are often utilized to assess depression levels since they contain rich emotional cues. However, the inherent inter-individual variability presented in facial expressions and speech introduces noise and redundancy into these cues. Since Facial Action Units (FAUs) represent identity-free facial muscle movements, we proposed a novel FAU-Guided Fusion (FAU-GF) strategy that extracts less noisy and redundant emotional features from human facial and speech behaviors. Moreover, depressive symptoms manifest in a recurrent, episodic, and intermittent fashion, with disjointed temporal connections. To enhance temporal dependency extraction, we innovatively represent temporal events as a graph structure and designed a Feature-Aware Edge Updater (FAEU) to better model contextual dependencies by learning the edges. Subsequently, we adopted Graph Attention Networks (GAT) to update the nodes and edges. After that, a Temporal Attention (TA) module is constructed to selectively focus on informative affect dynamics for each node. Finally, a Depression Predictor is used to assess the depression severity level. The proposed model was evaluated on the AVEC 2014 and AVEC 2019 datasets. Experimental results demonstrate that our model outperforms existing methods.</t>
  </si>
  <si>
    <t>RADIANCE: Reliable and interpretable depression detection from speech using transformer</t>
  </si>
  <si>
    <t>https://doi.org/10.1016/j.compbiomed.2024.109325</t>
  </si>
  <si>
    <t>Depression is a common but severe mental disorder that adversely impacts the ability of an individual to function normally in their day-to-day life. A majority of depressed individuals remain undiagnosed due to factors such as social stigma and a shortage of healthcare professionals. Consequently, several Machine Learning and Deep Learning (DL) models based on speech have been proposed for automatic depression detection, with the latter generally outperforming the former. However, DL models are blackbox and offer no transparency. In contrast, healthcare professionals prefer models that provide interpretability besides being accurate. In this direction, we propose a method RADIANCE (Reliable AnD InterpretAble depressioN deteCtion transformErs). RADIANCE incorporates a novel FilterBank VIsion Transformer (FBViT) network, which provides the symptoms of depression as interpretable features. Additionally, we employ a novel loss function that handles the class imbalance issue in the datasets. It also incorporates a penalty term that addresses the hierarchy of misclassification errors. We also propose a reliability predictor based on low-level descriptors that provides a reliability score to indicate the trustworthiness of the prediction by FBViT. Furthermore, in contrast to the conventional averaging and majority pooling, RADIANCE consolidates predictions from multiple clips of the input audio by intricately weighing each prediction based on its reliability score, ensuring a more accurate overall prediction. RADIANCE outperforms the state-of-the-art depression detection methods, achieving an accuracy of 89.36%, 80.36%, and 94.44% over the DAIC-WOZ, E-DAIC, and CMDC datasets, respectively. Further, RADIANCE achieves MAE scores of 3.27 and 5.04 on the DAIC-WOZ and E-DAIC datasets, respectively.</t>
  </si>
  <si>
    <t>A multimodal fusion model with multi-level attention mechanism for depression detection</t>
  </si>
  <si>
    <t>https://doi.org/10.1016/j.bspc.2022.104561</t>
  </si>
  <si>
    <t>Depression is a common mental illness that affects the physical and mental health of hundreds of millions of people around the world. Therefore, designing an efficient and robust depression detection model is an urgent research task. In order to fully extract depression features, we systematically analyze audio-visual and text data related to depression, and proposes a multimodal fusion model with multi-level attention mechanism (MFM-Att) for depression detection. The method is mainly divided into two stages: the first stage utilizes two LSTMs and a Bi-LSTM with attention mechanism to learn multi-view audio feature, visual feature and rich text feature, respectively. In the second stage, the output features of the three modalities are sent into the attention fusion network (AttFN) to obtain effective depression information, aiming to make use of the diversity and complementarity between modalities for depression detection. It is worth noting that the multi-level attention mechanism can not only extract valuable depressive features of intra-modality, but also learn the correlations of inter-modality, thereby improving the overall performance of the model by reducing the influence of redundant information. MFM-Att model is evaluated on the DAIC-WOZ dataset, and the result outperforms state-of-the-art models in terms of root mean square error (RMSE).</t>
  </si>
  <si>
    <t>Exploring the Capabilities of a Language Model-Only Approach for Depression Detection in Text Data</t>
  </si>
  <si>
    <t>https://doi.org/10.1109/BHI58575.2023.10313367</t>
  </si>
  <si>
    <t>Depression is a prevalent and debilitating mental health condition that requires accurate and efficient detection for timely and effective treatment. In this study, we utilized the E-DAIC (Extended Distress Analysis Interview Corpus-Wizard-of-Oz) dataset, an extended version of the DAIC-WOZ dataset, which consists of semi-clinical interviews conducted by an animated virtual interviewer called Ellie, controlled by a human interviewer in another room. With 275 participants, the E-DAIC dataset represents a valuable resource for investigating depression detection methods. Our aim is to predict PHQ-8 scores through text analysis. Leveraging state-of-the-art speech processing, LLM-based text summarization, and a specialized depression detection module, we demonstrate the transformative potential of language data analysis in enhancing depression screening. By overcoming the limitations of manual feature extraction methods, our automated techniques provide a more efficient and effective means of evaluating depression. In our evaluation, we achieve robust accuracy on the development set of the E-DAIC dataset, with a Mean Absolute Error (MAE) of 3.65 in estimating PHQ-8 scores from recorded interviews. This remarkable performance highlights the efficacy of our approach in automatically predicting depression severity. Our research contributes to the growing evidence supporting the use of LLMs in mental health assessment, showcasing the role of innovative technologies in advancing patient care for depression. © 2023 IEEE.</t>
  </si>
  <si>
    <t>Speech-Based Depression Detection System Optimized Using Particle Swarm Optimization</t>
  </si>
  <si>
    <t>https://doi.org/10.1109/NILES63360.2024.10753199</t>
  </si>
  <si>
    <t>Depression is a prevalent mental disorder, and accurate diagnosis is essential for effective intervention. Traditional diagnostic methods rely on subjective professional judgment, which can introduce bias. To address this challenge, we propose an optimized model that hybridizes Particle Swarm Optimization (PSO), and deep-learning for depression detection and assessment. Our approach leverages Mel-frequency cepstral coefficients (MFCC), Bidirectional Long Short-Term Memory (BiLSTM), and PSO on the audio data. Experiments on the Distress Analysis Interview Corpus Wizard-of-Oz (DAIC-WOZ) dataset demonstrate significant performance improvements. Our model achieves a Root Mean Square Error (RMSE) of 3.82 and a Mean Absolute Error (MAE) of 3.24, outperforming existing state-of-the-art depression detection methods. © 2024 IEEE.</t>
  </si>
  <si>
    <t>Enhanced Machine Learning Framework for Autonomous Depression Detection Using Modwave Cepstral Fusion and Stochastic Embedding; [УСОВЕРШЕНСТВОВАННАЯ СИСТЕМА МАШИННОГО ОБУЧЕНИЯ ДЛЯ АВТОНОМНОГО ОБНАРУЖЕНИЯ ДЕПРЕССИИ С ИСПОЛЬЗОВАНИЕМ МОДУЛИРОВАННОГО ВЕЙВЛЕТ-КЕПСТРАЛЬНОГО СЛИЯНИЯ И СТОХАСТИЧЕСКОГО ВСТРАИВАНИЯ]</t>
  </si>
  <si>
    <t>https://doi.org/10.15622/ia.23.6.7</t>
  </si>
  <si>
    <t>Depression is a prevalent mental illness that requires autonomous detection systems due to its complexity. Existing machine learning techniques face challenges such as background noise sensitivity, slow adaptation speed, and imbalanced data. To address these limitations, this study proposes a novel ModWave Cepstral Fusion and Stochastic Embedding Framework for depression prediction. Then, the Gain Modulated Wavelet Technique removes background noise and normalises audio signals. Difficulties with generalisation, which results in a lack of interpretability, hinder extracting relevant characteristics from speech. To address these issues, an Auto Cepstral Fusion extracts relevant features from speech, capturing temporal and spectral characteristics caused by background voice. Feature selection becomes imperative when choosing relevant features for classification. Selecting irrelevant features can result in overfitting, the curse of dimensionality, and less robustness to noise. Hence, the Principal Stochastic Embedding technique handles high-dimensional data, minimising noise influence and dimensionality. Furthermore, the XGBoost classifier differentiates between depressed and non-depressed individuals. As a result, the proposed method uses the DAIC-WOZ dataset from USC for detecting depressions, achieving an accuracy of 97.02%, precision of 97.02%, recall of 97.02%, F1-score of 97.02%, RMSE of 2.00, and MAE of 0.9, making it a promising tool for autonomous depression detection. © 2024 St. Petersburg Federal Research Center of the Russian Academy of Sciences. All rights reserved.</t>
  </si>
  <si>
    <t>Gaze Behavior based Depression Severity Estimation</t>
  </si>
  <si>
    <t>https://doi.org/10.1109/PRML59573.2023.10348319</t>
  </si>
  <si>
    <t>Depression is a severe mental illness that affects millions of people's lives Every year, more than 700,000 individuals choose to commit suicide due to depression. Early screening of patients with depression is challenging, making it critical to find methods that can aid doctors in quickly identifying potential patients. Currently, a significant number of depression severity estimation tasks focus on text, speech, and vision, but the exploration of the relationship between eye gaze behavior and depression is incomplete. This paper aims to explore the mapping relationship between eye gaze behavior and depression. We propose an integrated method to estimate depression severity using eye gaze behavior data. We formulate a more reasonable representation of gaze direction by expressing it as the angle of deflection. We employ a deep residual shrinkage network with channel-wise thresholds (DRSN-CW) to process the input gaze sequence and estimate the depression severity score. Moreover, we introduce label distribution learning to represent more fine-grained score information and alleviate the overfitting problem associated with small datasets, enhancing the reliability of depression severity estimation. We train and validate our model on the Distress Analysis Interview Corpus - Wizard of Oz (DAIC-WOZ) dataset, achieving an F1 score of 0.769, and reducing the mean absolute error (MAE) to 3.971 and root mean square error (RMSE) to 5.141. The results demonstrate significant improvement in the depression severity estimation task compared to previous tasks. © 2023 IEEE.</t>
  </si>
  <si>
    <t>Enhancing Depression Detection: Employing Autoencoders and Linguistic Feature Analysis with BERT and LSTM Model</t>
  </si>
  <si>
    <t>https://doi.org/10.1109/RusAutoCon58002.2023.10272795</t>
  </si>
  <si>
    <t>Depression is an abstinent health ailment that affronts several people globally, affecting a consistent decline in mood resulting in a trivial impact on their emotions. The article centers around the utilization of BERT based features and Autoencoders to identify depression from textual input, while also exploring gender identity variations. The study emphasizes the importance of feature engineering for text data obtained from the DAIC_WOZ benchmark dataset. By employing BERT embeddings, which capture the semantic meaning of text, in combination with Autoencoders and additional quantitative characteristics such as PHQ-8 participant feedback, assessment of absolutist word usage, and gender details, the model's performance is significantly improved. We conduct trials with BERT embeddings that encode the textual meaning to extract text characteristics. These features are subsequently combined using Autoencoders. Our method surpasses the performance of the baseline models, achieving an accuracy of 95.5%. Additionally, the mean absolute error (MAE) is measured at 3.75 and the root mean squared error (RMSE) at 5.02, demonstrating the exceptional performance for binary depression classification. These discoveries reveal the capacity of machine learning in mental health investigation, especially when considering gender disparities. © 2023 IEEE.</t>
  </si>
  <si>
    <t>A textual-based featuring approach for depression detection using machine learning classifiers and social media texts</t>
  </si>
  <si>
    <t>https://doi.org/10.1016/j.compbiomed.2021.104499</t>
  </si>
  <si>
    <t>Depression is one of the leading causes of suicide worldwide. However, a large percentage of cases of depression go undiagnosed and, thus, untreated. Previous studies have found that messages posted by individuals with major depressive disorder on social media platforms can be analysed to predict if they are suffering, or likely to suffer, from depression. This study aims to determine whether machine learning could be effectively used to detect signs of depression in social media users by analysing their social media posts—especially when those messages do not explicitly contain specific keywords such as ‘depression’ or ‘diagnosis’. To this end, we investigate several text preprocessing and textual-based featuring methods along with machine learning classifiers, including single and ensemble models, to propose a generalised approach for depression detection using social media texts. We first use two public, labelled Twitter datasets to train and test the machine learning models, and then another three non-Twitter depression-class-only datasets (sourced from Facebook, Reddit, and an electronic diary) to test the performance of our trained models against other social media sources. Experimental results indicate that the proposed approach is able to effectively detect depression via social media texts even when the training datasets do not contain specific keywords (such as ‘depression’ and ‘diagnose’), as well as when unrelated datasets are used for testing.</t>
  </si>
  <si>
    <t>A Multimodal Approach for Detection and Assessment of Depression Using Text, Audio and Video</t>
  </si>
  <si>
    <t>https://doi.org/10.1007/s43657-023-00152-8</t>
  </si>
  <si>
    <t>Depression is one of the most common mental disorders, and rates of depression in individuals increase each year. Traditional diagnostic methods are primarily based on professional judgment, which is prone to individual bias. Therefore, it is crucial to design an effective and robust diagnostic method for automated depression detection. Current artificial intelligence approaches are limited in their abilities to extract features from long sentences. In addition, current models are not as robust with large input dimensions. To solve these concerns, a multimodal fusion model comprised of text, audio, and video for both depression detection and assessment tasks was developed. In the text modality, pre-trained sentence embedding was utilized to extract semantic representation along with Bidirectional long short-term memory (BiLSTM) to predict depression. This study also used Principal component analysis (PCA) to reduce the dimensionality of the input feature space and Support vector machine (SVM) to predict depression based on audio modality. In the video modality, Extreme gradient boosting (XGBoost) was employed to conduct both feature selection and depression detection. The final predictions were given by outputs of the different modalities with an ensemble voting algorithm. Experiments on the Distress analysis interview corpus wizard-of-Oz (DAIC-WOZ) dataset showed a great improvement of performance, with a weighted F1 score of 0.85, a Root mean square error (RMSE) of 5.57, and a Mean absolute error (MAE) of 4.48. Our proposed model outperforms the baseline in both depression detection and assessment tasks, and was shown to perform better than other existing state-of-the-art depression detection methods. © International Human Phenome Institutes (Shanghai) 2024.</t>
  </si>
  <si>
    <t>Prediction of Depression Severity Based on Transformer Encoder and CNN Model</t>
  </si>
  <si>
    <t>https://doi.org/10.1109/ISCSLP57327.2022.10038064</t>
  </si>
  <si>
    <t>Depression is one of the most common mental health disorders and can lead to suicide in extreme cases. It is crucial to develop and design an automatic depression detection(ADD) model that is objective, effective, and robust. Many works have been done to develop automatic depression detection systems using speech data due to its easy accessibility and privacy. Although most current methods use RNN, it is difficult to capture the long-term dependence of depressed audio due to the gradient explosion/vanish. In this paper, a novel model combining Transformer Encoder and CNN is proposed to address this problem. Experiments on the DAIC-WOZ dataset show that the performance of the algorithm has improved considerably, with a mean absolute error (MAE) of 4.48 and a root mean square error (RMSE) of 5.37. © 2022 IEEE.</t>
  </si>
  <si>
    <t>HCAG: A hierarchical context-aware graph attention model for depression detection</t>
  </si>
  <si>
    <t>https://doi.org/10.1109/ICASSP39728.2021.9413486</t>
  </si>
  <si>
    <t>Depression is one of the most common mental health disorders, it’s crucial to design an effective and robust model for automatic depression detection (ADD). Although current approaches rely on extra topic models or manually topic-selection procedures which is time-consuming, they still haven’t thoroughly explored the sufficient context information among clinical interviews. In this paper, we propose HCAG, a novel Hierarchical Context-Aware Graph attention model for ADD. Our model mirrors the hierarchical structure of depression assessment and leverages the Graph Attention Network (GAT) to grasp relational contextual information of text/audio modality. Experiments on the DAIC-WOZ dataset show a great performance improvement, with the F1-score of 0.92, a Mean Absolute Error (MAE) of 2.94, and a Root Mean Square Error (RMSE) of 3.80. To the best of our knowledge, our model outperforms the existing state-of-the-art methods. © 2021 IEEE</t>
  </si>
  <si>
    <t>The use of machine learning and deep learning models in detecting depression on social media: A systematic literature review</t>
  </si>
  <si>
    <t>https://doi.org/10.1016/j.pmip.2024.100125</t>
  </si>
  <si>
    <t>Depression is regarded as one of the world's primary concerns. Recent researchers use artificial intelligence techniques like machine learning and deep learning to identify depressive symptoms automatically. This literature review focuses on using machine learning and deep learning models in depression detection on social media. Advances in deep learning have improved methods for identifying depression, which is one of the illnesses that affect the health of individuals. Some researchers employ a variety of deep-learning approaches to improve the diagnosis, detection, and prediction of depression to support expert decision-making. The researchers identified the available prediction techniques and tools used to detect, forecast, compare, and classify depression in victims systematically. Twenty-eight (28) articles relevant to machine learning and thirty-two (32) articles linked to deep learning were chosen and considered using boolean keyword searches in different publishing databases and filters. A significant number of the studies, according to the conclusions of the analysis, used machine learning techniques such as decision trees, K-nearest neighbours, naive bayes, random forests, and support vector machines. The deep learning models that are most frequently utilised include convolutional neural networks, long short-term memory, and recurrent neural networks with different datasets to detect subjects suffering from depression using social media data. The datasets used in these studies include Twitter, Facebook, Reddit, tweets from the Kaggle website, and clinic patients’ records. These datasets can include posts, comments, audio, video, images, and interviews. The results of this study revealed that, recently, several approaches have focused on using deep learning for depression detection. The paper highlighted that most research focuses on the detection and identification of depression. Prospects for cutting-edge studies in the detection of depression and other illnesses that are related to health were also suggested.</t>
  </si>
  <si>
    <t>Text-guided multimodal depression detection via cross-modal feature reconstruction and decomposition</t>
  </si>
  <si>
    <t>https://doi.org/10.1016/j.inffus.2024.102861</t>
  </si>
  <si>
    <t>Depression, a widespread and debilitating mental health disorder, requires early detection to facilitate effective intervention. Automated depression detection integrating audio with text modalities is a challenging yet significant issue due to the information redundancy and inter-modal heterogeneity across modalities. Prior works usually fail to fully learn the interaction of audio–text modalities for depression detection in an explicit manner. To address these issues, this work proposes a novel text-guided multimdoal depression detection method based on a cross-modal feature reconstruction and decomposition framework. The proposed method takes the text modality as the core modality to guide the model to reconstruct comprehensive audio features for cross-modal feature decomposition tasks. Moreover, the designed cross-modal feature reconstruction and decomposition framework aims to disentangle the shared and private features from the text-guided reconstructed comprehensive audio features for subsequent multimodal fusion. Besides, a bi-directional cross-attention module is designed to interactively learn simultaneous and mutual correlations across modalities for feature enhancement. Extensive experiments are performed on the DAIC-WoZ and E-DAIC datasets, and the results show the superiority of the proposed method on multimodal depression detection tasks, outperforming the state-of-the-arts.</t>
  </si>
  <si>
    <t>What reveals about depression level? The role of multimodal features at the level of interview questions</t>
  </si>
  <si>
    <t>https://doi.org/10.1016/j.im.2020.103349</t>
  </si>
  <si>
    <t>Early depression detection can enable timely intervention. Automatic depression detection has relied on features extracted from individual-level data, which may be too coarse to support effective detection. Existing detection models have largely overlooked interview questions commonly used in clinical depression assessment. This research proposes a two-layered multi-modal model for depression detection, which not only extracts features from responses at a level of individual interview questions, but also identifies semantic categories of those questions. The evaluation results demonstrate that the proposed model outperforms the state-of-the-art methods for depression detection. The research findings have broad and cross-disciplinary implications.</t>
  </si>
  <si>
    <t>Automated speech-based screening of depression using deep convolutional neural networks</t>
  </si>
  <si>
    <t>https://doi.org/10.1016/j.procs.2019.12.228</t>
  </si>
  <si>
    <t>Early detection and treatment of depression is essential in promoting remission, preventing relapse, and reducing the emotional burden of the disease. Current diagnoses are primarily subjective, inconsistent across professionals, and expensive for individuals who may be in urgent need of help. This paper proposes a novel approach to automated depression detection in speech using convolutional neural network (CNN) and multipart interactive training. The model was tested using 2568 voice samples obtained from 77 non-depressed and 30 depressed individuals. In experiment conducted, data were applied to residual CNNs in the form of spectrograms—images auto-generated from audio samples. The experimental results obtained using different ResNet architectures gave a promising baseline accuracy reaching 77%.</t>
  </si>
  <si>
    <t>A hierarchical depression detection model based on vocal and emotional cues</t>
  </si>
  <si>
    <t>https://doi.org/10.1016/j.neucom.2021.02.019</t>
  </si>
  <si>
    <t>Effective and efficient automatic depression diagnosis is a challenging subject in the field of affective computing. Since speech signals provide useful information for diagnosing depression, in this paper, we propose to extract deep speaker recognition (SR) and speech emotion recognition (SER) features using pretrained models, and combine the two deep speech features to take advantage of the complementary information between the vocal and emotional differences of speakers. In addition, due to the small amount of data for depression recognition and the cost sensitivity of the diagnosis results, we propose a hierarchical depression detection model, in which multiple classifiers are set up prior to a regressor to guide the prediction of depression severity. We test our method on the AVEC 2013 and AVEC 2014 benchmark databases. The results demonstrate that the fusion of deep SR and SER features can improve the prediction performance of the model. The proposed method, using only audio features, can avoid the overfitting problem and achieves better performance than the previous audio-based methods on both databases. It also provides results comparable to those of video-based and multimodal-based methods for depression detection.</t>
  </si>
  <si>
    <t>A survey on detecting mental disorders with natural language processing: Literature review, trends and challenges</t>
  </si>
  <si>
    <t>https://doi.org/10.1016/j.cosrev.2024.100654</t>
  </si>
  <si>
    <t>For years, the scientific community has researched monitoring approaches for the detection of certain mental disorders and risky behaviors, like depression, eating disorders, gambling, and suicidal ideation among others, in order to activate prevention or mitigation strategies and, in severe cases, clinical treatment. Natural Language Processing is one of the most active disciplines dealing with the automatic detection of mental disorders. This paper offers a comprehensive and extensive review of research works on Natural Language Processing applied to the identification of some mental disorders. To this end, we have identified from a literature review, which are the main types of features used to represent the texts, the machine learning algorithms that are preferred or the most targeted social media platforms, among other aspects. Besides, the paper reports on scientific forums and projects focused on the automatic detection of these problems over the most popular social networks. Thus, this compilation provides a broad view of the matter, summarizing main strategies, and significant findings, but, also, recognizing some of the weaknesses in the research works published so far, serving as clues for future research.</t>
  </si>
  <si>
    <t>Qualitative Analysis of the Four-Channel, High-Resolution Urethral Pressure Profile of the Female Dog</t>
  </si>
  <si>
    <t>https://doi.org/10.1016/S0022-5347(17)38930-9</t>
  </si>
  <si>
    <t>Four-channel urethral pressure profiles (UPP’s) were measured on six female dogs with an improved perfused open tip technique. A four-channel catheter with one side-hole per channel was used to measure four UPP’s simultaneously in different directions. The dynamic properties of the system have been improved significantly by replacing the conventional perfusion system by a pneumo-hydraulic perfusion system, according to the design of Arndorfer. The UPP’s thus obtained consistently show multiple peaks which depend on catheter orientation. These observations are explained in terms of the presence of several symmetrical as well as asymmetrical muscles in and around the canine urethral wall. Clinical application of the developed technique is expected to yield new information on the functional anatomy of the human urethra. (J. Urol, 142: 855–859, 1989)</t>
  </si>
  <si>
    <t>Greenhouse Environmental Control System Based on SW-SVR</t>
  </si>
  <si>
    <t>https://doi.org/10.1016/j.procs.2015.08.249</t>
  </si>
  <si>
    <t>Greenhouse environmental control systems using sensor networks are becoming more widespread and sophisticated. To match the produce of expert farmers, these systems collect data about cultivation environment and growth situation, and aim to control the environment for cultivating high quality crops. However, with no agriculture experience, it is difficult for system users to set control parameters of several devices properly. In order to reproduce prediction control performed by expert farmers’ cultivation without human intervention, the authors propose a smart greenhouse environmental control system based on sliding window-based support vector regression (SW-SVR). The proposed system performs prediction control based on accurate predictions in real time. SW-SVR is a new machine learning algorithm for time series data prediction. The prediction model automatically adjusts to the current environment periodically, predicts time series data with high accuracy and low computational complexity. The proposed system using SW-SVR enables system users to optimize controls for crops. Meanwhile, since plant growth is related to the photosynthesis and transpiration of leaves, the authors developed wireless scattered light sensors which measure leaf area size indirectly so as to estimate plant growth. Our experimental results, using data of scattered light sensors on-site, outside weather data, and forecast data as independent variables of SW-SVR for hydroponic culture of tomatoes, show the proposed system reduced prediction error of nitrogen absorption amount by 59.44% as Mean Absolute Error (MAE) and 52.89% as Root Mean Squared Error (RMSE) compared with SVR, and reduced training data by 43.07% on average. Furthermore, the sugar content of tomatoes cultivated by the prototype system increased 1.54 times compared with usual tomatoes.</t>
  </si>
  <si>
    <t>Autofusion: Fusing Multi-Modalities with Interactions</t>
  </si>
  <si>
    <t>https://doi.org/10.1016/j.procs.2024.09.522</t>
  </si>
  <si>
    <t>In the context of escalating data flows through diverse channels, multimodal machine learning holds the potential to simultaneously process varied data formats from multiple sources, offering robust solutions for uncertainty in various applications. The study highlights the often under-explored correlation information among data modalities and emphasizes the importance of disentangling enriched interactions for more informed decision-making. This paper navigates the burgeoning field of multimodal artificial intelligence (AI) by proposing Autofusion, a pioneering framework addressing representation learning and fusion challenges. Our proposed approach integrates autoencoder structures to address overfitting issues in unimodal machine learning, simultaneously tackling information balancing challenges. The framework’s application in Alzheimer’s disease detection, using DementiaBank’s Pitt corpus, demonstrates promising results, outperforming unimodal methods and showcasing a substantial advantage over traditional fusion techniques. This research significantly contributes by introducing Autofusion as a comprehensive multimodal machine learning solution, demonstrating its efficacy through DementiaBank’s Pitt corpus to detect Alzheimer’s disease, and shedding light on the influential role of cross-modality interaction for enhanced performance in complex applications.</t>
  </si>
  <si>
    <t>Multi-modal Expression Detection (MED): A cutting-edge review of current trends, challenges and solutions</t>
  </si>
  <si>
    <t>https://doi.org/10.1016/j.engappai.2023.106661</t>
  </si>
  <si>
    <t>In the process of day-to-day learning, expressions are very vital. Detection of human expressions is growing and has caught the interest of many researchers in the past few years, to facilitate research on Affective Computing. Classification of expressions is necessarily needed to keep focus on several expressions for developing an efficient electronic learning system. This classification can provide several solutions in the application of psychology, human computer interaction, artificial intelligence, education, gaming etc. The core attention of this review is to highlight the most recent algorithms used for the extraction of features from multi-modal datasets and various classifiers that are used in the discipline of Multi-modal expression detection (MED). In this study, we review the literature on MED between 2015 and 2022, focusing mainly on feature extraction and classifier schemes. Their advantages, disadvantages and the entire vision have been discussed in brief. This survey also shows that the efficiency of the MED environment is better as compared to single-modal ones.</t>
  </si>
  <si>
    <t>Hybrid depression classification and estimation from audio video and text information</t>
  </si>
  <si>
    <t>https://doi.org/10.1145/3133944.3133950</t>
  </si>
  <si>
    <t>In this paper, we design a hybrid depression classification and depression estimation framework from audio, video and text descriptors. It contains three main components: 1) Deep Convolutional Neural Network (DCNN) and Deep Neural Network (DNN) based audio visual multi-modal depression recognition frameworks, trained with depressed and not-depressed participants, respectively; 2) Paragraph Vector (PV), Support Vector Machine (SVM) and Random Forest based depression classification framework from the interview transcripts; 3) A multivariate regression model fusing the audio visual PHQ-8 estimations from the depressed and notdepressed DCNN-DNN models, and the depression classification result from the text information. In the DCNN-DNN based depression estimation framework, audio/video feature descriptors are first input into a DCNN to learn high-level features, which are then fed to a DNN to predict the PHQ-8 score. Initial predictions from the two modalities are fused via a DNN model. In the PV-SVM and Random Forest based depression classification framework, we explore semantic-related text features using PV, as well as global text-features. Experiments have been carried out on the Distress Analysis Interview Corpus - Wizard of Oz (DAIC-WOZ) dataset for the Depression Sub-challenge at the 2017 Audio-Visual Emotion Challenge (AVEC), results show that the proposed depression recognition framework obtains very promising results, with root mean square error (RMSE) as 3.088, mean absolute error (MAE) as 2.477 on the development set, and RMSE as 5.400, MAE as 4.359 on the test set, which are all lower than the baseline results. ©2017 Association for Computing Machinery.</t>
  </si>
  <si>
    <t>Exploring Recurrent Neural Network Models for Depression Detection Through Facial Expressions: A Systematic Literature Review</t>
  </si>
  <si>
    <t>https://doi.org/10.1109/IC2IE60547.2023.10331094</t>
  </si>
  <si>
    <t>Major Depressive Disorder (MDD) is a prevalent mental disorder, affecting a significant number of individuals, with estimates reaching 300 million cases worldwide. Currently, the diagnosis of this condition relies heavily on subjective assessments based on the experience of medical professionals. Therefore, researchers have turned to deep learning models to explore the detection of depression. The objective of this review is to gather information on detecting depression based on facial expressions in videos using deep learning techniques. Overall, this research found that RNN models achieved 7.22 MAE for AVEC2014. LSTM models produced 4.83 MAE for DAIC-WOZ, while GRU models achieved an accuracy of 89.77% for DAIC-WOZ. Features like Facial Action Units (FAU), eye gaze, and landmarks show great potential and need to be further analyzed to improve results. Analysis can include applying feature engineering techniques. Aggregation methods, such as mean calculation, are recommended as effective approaches for data processing. This Systematic Literature Review found that facial expressions do have relevant patterns related to MDD.  © 2023 IEEE.</t>
  </si>
  <si>
    <t>Towards automatic text-based estimation of depression through symptom prediction</t>
  </si>
  <si>
    <t>https://doi.org/10.1186/s40708-023-00185-9</t>
  </si>
  <si>
    <t>Major Depressive Disorder (MDD) is one of the most common and comorbid mental disorders that impacts a person’s day-to-day activity. In addition, MDD affects one’s linguistic footprint, which is reflected by subtle changes in speech production. This allows us to use natural language processing (NLP) techniques to build a neural classifier to detect depression from speech transcripts. Typically, current NLP systems discriminate only between the depressed and non-depressed states. This approach, however, disregards the complexity of the clinical picture of depression, as different people with MDD can suffer from different sets of depression symptoms. Therefore, predicting individual symptoms can provide more fine-grained information about a person’s condition. In this work, we look at the depression classification problem through the prism of the symptom network analysis approach, which shifts attention from a categorical analysis of depression towards a personalized analysis of symptom profiles. For that purpose, we trained a multi-target hierarchical regression model to predict individual depression symptoms from patient–psychiatrist interview transcripts from the DAIC-WOZ corpus. Our model achieved results on par with state-of-the-art models on both binary diagnostic classification and depression severity prediction while at the same time providing a more fine-grained overview of individual symptoms for each person. The model achieved a mean absolute error (MAE) from 0.438 to 0.830 on eight depression symptoms and showed state-of-the-art results in binary depression estimation (73.9 macro-F1) and total depression score prediction (3.78 MAE). Moreover, the model produced a symptom correlation graph that is structurally identical to the real one. The proposed symptom-based approach provides more in-depth information about the depressive condition by focusing on the individual symptoms rather than a general binary diagnosis. © 2023, The Author(s).</t>
  </si>
  <si>
    <t>Deducing health cues from biometric data</t>
  </si>
  <si>
    <t>https://doi.org/10.1016/j.cviu.2022.103438</t>
  </si>
  <si>
    <t>Medical diagnosis involves the expert opinion of trained health care professionals based on causal inference from medical data. While medical data are typically collected using specialized medical-grade sensors, similar data characteristics useful for medical diagnosis are sometimes present in biometric data (e.g., face images, ocular images, and speech signals). In this paper, we explore the biometrics and medical literature to study the following questions. 1) What kind of health cues are embedded in the commonly utilized forms of audio-visual biometric data? 2) How can these health cues be gleaned from the biometric data, and what kind of diseases can it help diagnose? 3) What are some of the implications of using biometric data for medical diagnosis?</t>
  </si>
  <si>
    <t>Chapter One - Mental health impact of COVID-19 and machine learning applications in combating mental disorders: a review</t>
  </si>
  <si>
    <t>https://doi.org/10.1016/B978-0-323-91196-2.00016-8</t>
  </si>
  <si>
    <t>Mental disorders are a critical issue in modern society, yet it remains to be consistently neglected. The COVID19 pandemic has made it much more difficult to seek assistance when one needs it. People are feeling increasingly anxious and uncertain about their futures while being socially separated from their friends and relatives. As people continue to quarantine among the limitations imposed by governments, interaction between clinical therapists or social workers and those suffering from mental illness has gotten increasingly limited. Machine learning is a vital approach for allowing virtual analysis of many forms of textual, audio, and visual data for sentiment analysis and understanding the mental health of people utilizing numerous critical parameters in this situation. This chapter aims to provide a systematic review of the current literature investigating COVID-19's impact on mental well-being, as well as studies that explore machine learning and artificial intelligence techniques to detect and treat mental illnesses when traditional therapies are unavailable due to lockdown and social distancing norms imposed. The different machine learning algorithms and deep learning approaches utilized in earlier studies are thoroughly discussed in this chapter. Detailed explanation of the data sources utilized and a review of the types of features investigated in mental disorder identification are included as well. The study's major findings are thoroughly discussed. The obstacles of employing machine learning techniques in biomedical applications are explored, as well as possibilities to enhance and progress the discipline.</t>
  </si>
  <si>
    <t>Time prediction based on process mining</t>
  </si>
  <si>
    <t>https://doi.org/10.1016/j.is.2010.09.001</t>
  </si>
  <si>
    <t>Process mining allows for the automated discovery of process models from event logs. These models provide insights and enable various types of model-based analysis. This paper demonstrates that the discovered process models can be extended with information to predict the completion time of running instances. There are many scenarios where it is useful to have reliable time predictions. For example, when a customer phones her insurance company for information about her insurance claim, she can be given an estimate for the remaining processing time. In order to do this, we provide a configurable approach to construct a process model, augment this model with time information learned from earlier instances, and use this to predict e.g., the completion time. To provide meaningful time predictions we use a configurable set of abstractions that allow for a good balance between “overfitting” and “underfitting”. The approach has been implemented in ProM and through several experiments using real-life event logs we demonstrate its applicability.</t>
  </si>
  <si>
    <t>Multimodal Machine Learning for Mental Disorder Detection:A Scoping Review</t>
  </si>
  <si>
    <t>https://doi.org/10.1016/j.procs.2023.10.134</t>
  </si>
  <si>
    <t>Recent advancements in machine learning and multimedia technologies have paved new ways for automatic medical diagnosis. In mental health, multimodal inputs such as visual and audible sensing data are promising to investigate the underlying mechanisms of many conditions, such as depression and bipolar disorders. With the increasing burden on healthcare systems, timely diagnosis of mental diseases using multiple modalities might benefit millions of people worldwide. This scoping review provides an exploratory overview of recent multimodal machine learning approaches for mental disorder screening. We also discuss a generalised end-to-end multimodal machine learning pipeline for future research and development of multimodal disease detection.</t>
  </si>
  <si>
    <t>A New Regression Model for Depression Severity Prediction Based on Correlation among Audio Features Using a Graph Convolutional Neural Network</t>
  </si>
  <si>
    <t>https://doi.org/10.3390/diagnostics13040727</t>
  </si>
  <si>
    <t>Recent studies have revealed mutually correlated audio features in the voices of depressed patients. Thus, the voices of these patients can be characterized based on the combinatorial relationships among the audio features. To date, many deep learning–based methods have been proposed to predict the depression severity using audio data. However, existing methods have assumed that the individual audio features are independent. Hence, in this paper, we propose a new deep learning–based regression model that allows for the prediction of depression severity on the basis of the correlation among audio features. The proposed model was developed using a graph convolutional neural network. This model trains the voice characteristics using graph-structured data generated to express the correlation among audio features. We conducted prediction experiments on depression severity using the DAIC-WOZ dataset employed in several previous studies. The experimental results showed that the proposed model achieved a root mean square error (RMSE) of 2.15, a mean absolute error (MAE) of 1.25, and a symmetric mean absolute percentage error of 50.96%. Notably, RMSE and MAE significantly outperformed the existing state-of-the-art prediction methods. From these results, we conclude that the proposed model can be a promising tool for depression diagnosis. © 2023 by the authors.</t>
  </si>
  <si>
    <t>Progress, achievements, and challenges in multimodal sentiment analysis using deep learning: A survey</t>
  </si>
  <si>
    <t>https://doi.org/10.1016/j.asoc.2023.111206</t>
  </si>
  <si>
    <t>Sentiment analysis is a computational technique that analyses the subjective information conveyed within a given expression. This encompasses appraisals, opinions, attitudes or emotions towards a particular subject, individual, or entity. Conventional sentiment analysis solely considers the text modality and derives sentiment by identifying the semantic relationship between words within a sentence. Despite this, certain expressions, such as exaggeration, sarcasm and humor, pose a challenge for automated detection when conveyed only through text. Multimodal sentiment analysis incorporates various forms of data, such as visual and acoustic cues, in addition to text. By utilizing fusion analysis, this approach can more precisely determine the implied sentiment polarity, which includes positive, neutral, and negative sentiments. Thus, the recent advancements in deep learning have boosted the domain of multimodal sentiment analysis to new heights. The research community has also shown significant interest in this topic due to its potential for both practical application and educational research. In light of this fact, this paper aims to present a thorough analysis of recent ground-breaking research studies conducted in multimodal sentiment analysis, which employs deep learning models across various modalities such as text, audio, image, and video. Furthermore, the article dives into a discussion of the multiple categories of multimodal data, diverse domains in which multimodal sentiment analysis can be applied, a range of operations that are integral to multimodal sentiment analysis, deep learning architectures, a variety of fusion methods, challenges associated with multimodal sentiment analysis, and the benchmark datasets in addition to the state-of-the-art approaches. The ultimate goal of this survey is to indicate the success of deep learning architectures in tackling the complexities associated with multimodal sentiment analysis.</t>
  </si>
  <si>
    <t>Petrology, geochemistry and U–Pb geochronology of the Betic Ophiolites: Inferences for Pangaea break-up and birth of the westernmost Tethys Ocean</t>
  </si>
  <si>
    <t>https://doi.org/10.1016/j.lithos.2011.01.002</t>
  </si>
  <si>
    <t>The Betic Ophiolitic Unit, part of the Mulhacén Complex in the Betic Cordillera (SE Spain), is composed of several tectonic slices of eclogitized mafic and ultramafic rocks, together with oceanic metasediments. A comprehensive review of the petrological characteristics of the Betic Ophiolites shows notable analogies with other ophiolites from the Alps–Apennines system, indicating that they represent relics of oceanic lithosphere created at the westernmost end of the Western Tethys. U–Pb dating by SHRIMP (Sensitive High Resolution Ion MicroProbe) on zircon grains carefully investigated by cathodoluminescence images has been carried out on an eclogitized metagabbro (Lugros outcrop) and a metadolerite dyke intruded in ultramafic rocks (Almirez outcrop), giving consistent magmatic ages of around 185±3Ma. This age marks the beginning of the Betic oceanic magmatism (transitional to enriched MORB) that followed Pangaea break-up and the earliest oceanic accretion of the Western Tethys Ocean. Subsequently, ultraslow mid-ocean ridge spreading developed from the Betic oceanic basin northeastward to the Ligurian and Alpine Tethys domains, mainly around 165 to 140Ma.</t>
  </si>
  <si>
    <t>The Biologic and Clinical Significance of Lymphatic Metastases in Breast Cancer</t>
  </si>
  <si>
    <t>https://doi.org/10.1016/S1055-3207(18)30406-X</t>
  </si>
  <si>
    <t>The best treatment approach for the regional lymph nodes in breast cancer patients continues to undergo debate and reassessment. Most patients with invasive breast cancers are currently being treated by axillary dissections, in part because pathologic staging of the axillary nodes is the most important prognostic factor in patients with primary operable breast cancer and helps select patients for systemic therapy. As is discussed in this article, however, many factors are leading surgeons to become increasingly selective in choosing patients for axillary dissection. Emerging technology may soon lead to accurate axillary staging of many patients without full axillary dissection, and it is quite probable that the role of axillary dissection will continue to be redefined during the next few years.</t>
  </si>
  <si>
    <t>Integration of Artificial Intelligence and Wearable Internet of Things for Mental Health Detection</t>
  </si>
  <si>
    <t>https://doi.org/10.1016/j.ijcce.2024.07.002</t>
  </si>
  <si>
    <t>The integration of Artificial Intelligence (AI) and Wearable Internet of Things (WIoT) for mental health detection is a promising area of research with the potential to revolutionize mental health monitoring and diagnosis. Since early detection of mental diseases, i.e., depression, is of great importance for diagnosis and treatment, a fast and convenient way is urgently needed. Traditional diagnostic methods are time-consuming, laborious, over-subjective, and easily lead to misdiagnosis. The advance in information techniques and wearable devices brings innovation to mental disease detection. Therefore, this article first compares intelligent depression detection methods and traditional methods to illustrate the significance and then analyzes the opportunities of the wearable device. Then we provide specific psychophysiological data measured by wearable devices and introduce relevant datasets for depression detection. An illustrative example of depression detection with sleep data is presented and discussed and our proposed ensemble method has improved nearly 10% to baselines. Analytical results demonstrate the great potential of using wearable device-measured psychophysiological data to detect depression intelligently.</t>
  </si>
  <si>
    <t>Chapter 11 - All about human-robot interaction</t>
  </si>
  <si>
    <t>https://doi.org/10.1016/B978-0-323-85769-7.00010-0</t>
  </si>
  <si>
    <t>The latest developments in science and technology has led to the expansion and deployment of robots in various applications covering all spheres of the human life. This necessitates the interaction of humans with robots on a larger scale, as past evidence suggests the robots are considered more as companions rather than machines/tools. Human-computer interaction (HCI) provides insights in understanding and improving interactions with computer-based technologies. However, human-robot interaction (HRI) takes a cue from HCI by introducing autonomy, physical proximity and ability to take decisions in addition to HCI techniques for a robotic system, which makes HRI a distinct area for research. Taking into consideration the huge number of interactions between human and robots, there is a stringent requirement to standardize and make fixed protocols to ensure the usage of robotic technology in a responsible and principled way. This article illustrates a generalized framework and metric taxonomies for robot design through detailed review of literature. The framework presents an end-to-end product design overview for hobbyists and researchers interested in the general steps to create a fully-autonomous, consumer-focused social robots with perception and reasoning capabilities that aim to achieve high technology readiness.</t>
  </si>
  <si>
    <t>Clay mineralogy of Thai soils</t>
  </si>
  <si>
    <t>https://doi.org/10.1016/S0169-1317(96)00033-6</t>
  </si>
  <si>
    <t>The wide variety of soils in Thailand results of the interaction between climate, parent rocks, and physiography of the country. This is reflected in the wide variety of clay minerals. The complete country can be divided into five regions: the northern, central, north-east, south-east coast and peninsular region. The soil map of Thailand has been used to define the clay mineral provinces. From a mineralogical point of view eight clay mineral and three other assemblages can be distinguished. The clay mineral assemblages concern: kaolinite; kaolinite and illite; kaolinite and smectite; kaolinite, smectite and illite; kaolinite, illite and smectite; smectite and kaolinite; smectite, kaolinite and illite; kaolinite and gibbsite. The three other land types comprise clay-free/quartz-dominated soils, organic soils and slope complexes. Kaolinite is present in all soils. In oxisols, kaolinite is associated with gibbsite, goethite and hematite. In areas where the parent rock is mica-rich, illite is the dominant clay mineral. Smectite is the dominant clay mineral in areas where brackish water conditions prevailed during soil formation and where high amounts of dissolved ions were present.</t>
  </si>
  <si>
    <t>Recognition of Audio Depression Based on Convolutional Neural Network and Generative Antagonism Network Model</t>
  </si>
  <si>
    <t>https://doi.org/10.1109/ACCESS.2020.2998532</t>
  </si>
  <si>
    <t>This paper proposes an audio depression recognition method based on convolution neural network and generative antagonism network model. First of all, preprocess the data set, remove the long-term mute segments in the data set, and splice the rest into a new audio file. Then, the features of speech signal, such as Mel-scale Frequency Cepstral Coefficients (MFCCs), short-term energy and spectral entropy, are extracted based on audio difference normalization algorithm. The extracted matrix vector feature data, which represents the unique attributes of the subjects' own voice, is the data base for model training. Then, based on the combination of CNN and GAN, DR AudioNet is used to build the model of depression recognition research. With the help of DR AudioNet, the former model is optimized and the recognition classification is completed through the normalization characteristics of the two adjacent segments before and after the current audio segment. The experimental results on AViD-Corpus and DAIC-WOZ datasets show that the proposed method effectively reduces the depression recognition error compared with other existing methods, and the RMSE and MAE values obtained on the two datasets are better than the comparison algorithm by more than 5%. © 2020 IEEE.</t>
  </si>
  <si>
    <t>Advancing Mental Health Pre-Screening: A New Custom GPT for Psychological Distress Assessment</t>
  </si>
  <si>
    <t>https://doi.org/10.1109/CogMI62246.2024.00030</t>
  </si>
  <si>
    <t>This study introduces’Psycho Analyst’, a custom GPT model based on OpenAI’s GPT-4, optimized for pre-screening mental health disorders. Enhanced with DSM-5, PHQ-8, detailed data descriptions, and extensive training data, the model adeptly decodes nuanced linguistic indicators of mental health disorders. It utilizes a dual-task framework that includes binary classification and a three-stage PHQ-8 score computation involving initial assessment, detailed breakdown, and independent assessment, showcasing refined analytic capabilities. Validation with the DAIC-WOZ dataset reveals F1 and Macro-F1 scores of 0.929 and 0.949, respectively, along with the lowest MAE and RMSE of 2.89 and 3.69 in PHQ-8 scoring. These results highlight the model’s precision and transformative potential in enhancing public mental health support, improving accessibility, cost-effectiveness, and serving as a second opinion for professionals. © 2024 IEEE.</t>
  </si>
  <si>
    <t>Trust as indicator of robot functional and social acceptance. An experimental study on user conformation to iCub answers</t>
  </si>
  <si>
    <t>https://doi.org/10.1016/j.chb.2016.03.057</t>
  </si>
  <si>
    <t>To investigate the dynamics of human-robot acceptance, we carried out an experimental study with 56 adult participants and the iCub robot. Trust in the robot has been considered as a main indicator of acceptance and measured by the participants' conformation to the iCub's answers to questions on functional and social tasks characterized by perceptual and socio cognitive uncertainty. In particular, we were interested in understanding whether (i) trust in functional savvy is a prerequisite for trust in social savvy, and (ii) to what extent factors such as participants' desire for control, attitude towards social influence of robots, and imagined collaborative vs. competitive scenario, may influence their trust in the iCub. We found that participants conformed more to the iCub's answers in the functional than in the social tasks. Moreover, the few participants conforming to the iCub's answers in the social task also conformed less in the functional issues. Trust in the robot's functional savvy does not thus seem to be a pre-requisite for trust in its social savvy. Finally, the examined factors did not influence the trust in iCub. Results are discussed with relation to methodology of human-robot interaction (HRI) research.</t>
  </si>
  <si>
    <t>Negative home equity reduces household mobility: Evidence from administrative data</t>
  </si>
  <si>
    <t>https://doi.org/10.1016/j.jhe.2018.06.010</t>
  </si>
  <si>
    <t>We investigate the impact of negative home equity on household residential mobility. We employ a unique administrative panel data set covering nearly the whole population of Dutch homeowners. The data contains a large set of personal characteristics of more than 2,000,000 homeowners. We identify the effect of negative home equity on mobility by exploiting the quasi-exogenous regional variation of the unanticipated housing market shock during 2008–2012, in which real house prices declined by 25%. Households plunging into negative home equity due to unanticipated declining house prices are 21% less likely to move compared to households upholding positive home equity.</t>
  </si>
  <si>
    <t>The Efficacy of Norfloxacin in the Treatment of Chronic Bacterial Prostatitis Refractory to Trimethoprim-Sulfamethoxazole and/or Carbenicillin</t>
  </si>
  <si>
    <t>https://doi.org/10.1016/S0022-5347(17)39556-3</t>
  </si>
  <si>
    <t>We treated 15 men who had chronic bacterial prostatitis refractory to trimethoprim-sulfamethoxazole and/or carbenicillin with 400mg. norfloxacin twice daily for 28 days. All pathogens were susceptible to norfloxacin and absent in prostatic fluid cultures obtained during therapy. One patient had negative post-therapy prostatic fluid cultures but was lost to followup at 1 month. Of the 14 patients followed for at least 6 months 9 64%) were cured of the original infection, including 6 who have remained uninfected and have had negative prostatic secretion and urine cultures for at least 2 years 1), 1 year 2) or 6 months 3). In 3 patients urinary tract infections recurred with new pathogens at 6, 560 and 820 days after post-therapy negative prostatic fluid cultures. Bacterial prostatitis with the original pathogen recurred in 5 patients within 2 months of completing therapy. The bacteria remained susceptible to norfloxacin but could not be eradicated with 30 to 90 days of additional norfloxacin therapy. Cures were achieved in 9 of 12 patients with Escherichia coli, none of 2 with Pseudomonas prostatitis and 3 of 5 with prostatic calculi. No patient experienced significant adverse effects. The data suggest that norfloxacin is effective and safe for the treatment of refractory chronic bacterial prostatitis.</t>
  </si>
  <si>
    <t>Chapter Eight - Affective computing: Computational Knowledge Vision for depression detection</t>
  </si>
  <si>
    <t>https://doi.org/10.1016/B978-0-44-321619-0.00016-9</t>
  </si>
  <si>
    <t>With more than 300 million people depressed worldwide annually, depression is a global problem. The goal of depression detection is to improve diagnostic accuracy and availability, leading to faster intervention. The most important and challenging problem here is to design an effective and robust depression detection model. To this end, there are two challenges to overcome: 1) Multi-modal (audio, image, text, etc.) information must be jointly considered to make accurate inferences. 2) Existing deep learning-based work suffers from multi-modal data sufficiency problem. To address these issues, we propose a graph attention model embedded with multi-modal knowledge for depression detection. This approach learns not only reasonable embeddings for nodes in the knowledge graph, but also exploits medical knowledge to improve the performance of classification and prediction with the knowledge attention mechanism. Experimental results on two real-world datasets show that the proposed approach significantly improves the classification and prediction performance compared with other major state-of-the-art approaches, with guaranteed the robustness with each modality of multi-modal data. Overall, this chapter shows how multi-modal knowledge attention mechanism and deep-learning-based networks can be combined to assist mental health patients and practitioners.</t>
  </si>
  <si>
    <t>Deep learning for depression recognition with audiovisual cues: A review</t>
  </si>
  <si>
    <t>https://doi.org/10.1016/j.inffus.2021.10.012</t>
  </si>
  <si>
    <t>With the acceleration of the pace of work and life, people are facing more and more pressure, which increases the probability of suffering from depression. However, many patients may fail to get a timely diagnosis due to the serious imbalance in the doctor–patient ratio in the world. A promising development is that physiological and psychological studies have found some differences in speech and facial expression between patients with depression and healthy individuals. Consequently, to improve current medical care, Deep Learning (DL) has been used to extract a representation of depression cues from audio and video for automatic depression detection. To classify and summarize such research, we introduce the databases and describe objective markers for automatic depression estimation. We also review the DL methods for automatic detection of depression to extract a representation of depression from audio and video. Lastly, we discuss challenges and promising directions related to the automatic diagnoses of depression using DL.</t>
  </si>
  <si>
    <t>Towards using Breathing Features for Multimodal Estimation of Depression Severity</t>
  </si>
  <si>
    <t>https://doi.org/10.1145/3536221.3556606</t>
  </si>
  <si>
    <t>ACM</t>
  </si>
  <si>
    <t>Decision Tree Based Depression Classification from Audio Video and Language Information</t>
  </si>
  <si>
    <t>https://doi.org/10.1145/2988257.2988269</t>
  </si>
  <si>
    <t>Multimodal Measurement of Depression Using Deep Learning Models</t>
  </si>
  <si>
    <t>https://doi.org/10.1145/3133944.3133948</t>
  </si>
  <si>
    <t>Leveraging Social Robots to Promote Hand Hygiene: A Cross-Cultural and Socio-Economic Study of Children in Diverse School Settings</t>
  </si>
  <si>
    <t>Proceedings of the 2024 7th International Conference on Digital Medicine and Image Processing</t>
  </si>
  <si>
    <t>Depression Severity Prediction Based on Biomarkers of Psychomotor Retardation</t>
  </si>
  <si>
    <t>https://doi.org/10.1145/3133944.3133947</t>
  </si>
  <si>
    <t>Proceedings of the 12th International Conference on Human-Agent Interaction</t>
  </si>
  <si>
    <t>Detecting Depression using Vocal, Facial and Semantic Communication Cues</t>
  </si>
  <si>
    <t>https://doi.org/10.1145/2988257.2988263</t>
  </si>
  <si>
    <t>Multi-modality Depression Detection via Multi-scale Temporal Dilated CNNs</t>
  </si>
  <si>
    <t>https://doi.org/10.1145/3347320.3357695</t>
  </si>
  <si>
    <t>Multi-level Attention Network using Text, Audio and Video for Depression Prediction</t>
  </si>
  <si>
    <t>https://doi.org/10.1145/3347320.3357697</t>
  </si>
  <si>
    <t>Understanding User Perceptions, Collaborative Experience and User Engagement in Different Human-AI Interaction Designs for Co-Creative Systems</t>
  </si>
  <si>
    <t>https://doi.org/10.1145/3527927.3532789</t>
  </si>
  <si>
    <t>Proceedings of the IEEE/ACM 46th International Conference on Software Engineering</t>
  </si>
  <si>
    <t>Proceedings of the 2022 International Conference on Multimodal Interaction</t>
  </si>
  <si>
    <t>Proceedings of the 1st International Workshop on Advances in Environmental Sensing Systems for Smart Cities</t>
  </si>
  <si>
    <t>Evaluating Acoustic and Linguistic Features of Detecting Depression Sub-Challenge Dataset</t>
  </si>
  <si>
    <t>https://doi.org/10.1145/3347320.3357693</t>
  </si>
  <si>
    <t>Topic Modeling Based Multi-modal Depression Detection</t>
  </si>
  <si>
    <t>https://doi.org/10.1145/3133944.3133945</t>
  </si>
  <si>
    <t>AVEC 2017: Real-life Depression, and Affect Recognition Workshop and Challenge</t>
  </si>
  <si>
    <t>https://doi.org/10.1145/3133944.3133953</t>
  </si>
  <si>
    <t>Proceedings of the 2023 Fifteenth International Conference on Contemporary Computing</t>
  </si>
  <si>
    <t>Proceedings of the 2022 5th Artificial Intelligence and Cloud Computing Conference</t>
  </si>
  <si>
    <t>Companion of the 2024 on ACM International Joint Conference on Pervasive and Ubiquitous Computing</t>
  </si>
  <si>
    <t>Adjunct Proceedings of the 32nd ACM Conference on User Modeling, Adaptation and Personalization</t>
  </si>
  <si>
    <t>Reaching Out: Investigating Different Modalities to Help People with Visual Impairments Acquire Items</t>
  </si>
  <si>
    <t>https://doi.org/10.1145/3132525.3134817</t>
  </si>
  <si>
    <t>Companion Publication of the 2022 International Conference on Multimodal Interaction</t>
  </si>
  <si>
    <t>AVEC 2016: Depression, Mood, and Emotion Recognition Workshop and Challenge</t>
  </si>
  <si>
    <t>https://doi.org/10.1145/2988257.2988258</t>
  </si>
  <si>
    <t>Proceedings of the 2024 7th International Conference on Machine Learning and Machine Intelligence (MLMI)</t>
  </si>
  <si>
    <t>Proceedings of Mensch und Computer 2023</t>
  </si>
  <si>
    <t>Proceedings of the 2024 Conference on Human Information Interaction and Retrieval</t>
  </si>
  <si>
    <t>Machine Learning in Mental Health: A Systematic Review of the HCI Literature to Support the Development of Effective and Implementable ML Systems</t>
  </si>
  <si>
    <t>https://doi.org/10.1145/3398069</t>
  </si>
  <si>
    <t>Companion Publication of the 25th International Conference on Multimodal Interaction</t>
  </si>
  <si>
    <t>Proceedings of the 25th International Conference on Multimodal Interaction</t>
  </si>
  <si>
    <t>Proceedings of the 29th International Conference on Intelligent User Interfaces</t>
  </si>
  <si>
    <t>Proceedings of the 37th Annual ACM Symposium on User Interface Software and Technology</t>
  </si>
  <si>
    <t>Proceedings of the 4th Conference on Conversational User Interfaces</t>
  </si>
  <si>
    <t>Extended Abstracts of the CHI Conference on Human Factors in Computing Systems</t>
  </si>
  <si>
    <t>The Development and Validation of the Technology-Supported Reflection Inventory</t>
  </si>
  <si>
    <t>https://doi.org/10.1145/3411764.3445673</t>
  </si>
  <si>
    <t>Proceedings of the 2024 10th International Conference on Computing and Artificial Intelligence</t>
  </si>
  <si>
    <t>Gender Bias in Word Embeddings: A Comprehensive Analysis of Frequency, Syntax, and Semantics</t>
  </si>
  <si>
    <t>https://doi.org/10.1145/3514094.3534162</t>
  </si>
  <si>
    <t>Proceedings of the 2022 4th International Conference on Robotics, Intelligent Control and Artificial Intelligence</t>
  </si>
  <si>
    <t>Proceedings of the 2023 CHI Conference on Human Factors in Computing Systems</t>
  </si>
  <si>
    <t>Proceedings of the 2024 13th International Conference on Computing and Pattern Recognition</t>
  </si>
  <si>
    <t>Multimodal and Multiresolution Depression Detection from Speech and Facial Landmark Features</t>
  </si>
  <si>
    <t>https://doi.org/10.1145/2988257.2988261</t>
  </si>
  <si>
    <t>Companion Proceedings of the 2024 Annual Symposium on Computer-Human Interaction in Play</t>
  </si>
  <si>
    <t>Proceedings of the 20th Brazilian Symposium on Information Systems</t>
  </si>
  <si>
    <t>Adjunct Proceedings of the 36th Annual ACM Symposium on User Interface Software and Technology</t>
  </si>
  <si>
    <t>Proceedings of the SC '24 Workshops of the International Conference on High Performance Computing, Network, Storage, and Analysis</t>
  </si>
  <si>
    <t>Proceedings of the 16th Conference on Creativity &amp;amp; Cognition</t>
  </si>
  <si>
    <t>Proceedings of the 30th ACM Joint European Software Engineering Conference and Symposium on the Foundations of Software Engineering</t>
  </si>
  <si>
    <t>Proceedings of the 38th ACM/SIGAPP Symposium on Applied Computing</t>
  </si>
  <si>
    <t>Proceedings of the 18th International Conference on the Foundations of Digital Games</t>
  </si>
  <si>
    <t>Proceedings of the 28th ACM Symposium on Virtual Reality Software and Technology</t>
  </si>
  <si>
    <t>Proceedings of the XXII Brazilian Symposium on Human Factors in Computing Systems</t>
  </si>
  <si>
    <t>Proceedings of the 2024 8th International Conference on Advances in Artificial Intelligence</t>
  </si>
  <si>
    <t>Companion Proceedings of the Web Conference 2022</t>
  </si>
  <si>
    <t>The mobile Oracle: a tool for early user involvement</t>
  </si>
  <si>
    <t>https://doi.org/10.1145/1613858.1613956</t>
  </si>
  <si>
    <t>Modeling culturally authentic style shifting with virtual peers</t>
  </si>
  <si>
    <t>https://doi.org/10.1145/1647314.1647338</t>
  </si>
  <si>
    <t>Adjunct Proceedings of the 2022 ACM International Joint Conference on Pervasive and Ubiquitous Computing and the 2022 ACM International Symposium on Wearable Computers</t>
  </si>
  <si>
    <t>Proceedings of the 26th International ACM SIGACCESS Conference on Computers and Accessibility</t>
  </si>
  <si>
    <t>Proceedings of the 2017 ACM Conference on Computer Supported Cooperative Work and Social Computing</t>
  </si>
  <si>
    <t>AMITIES: avatar-mediated interactive training and individualized experience system</t>
  </si>
  <si>
    <t>https://doi.org/10.1145/2503713.2503731</t>
  </si>
  <si>
    <t>The Handbook of Multimodal-Multisensor Interfaces: Foundations, User Modeling, and Common Modality Combinations - Volume 1</t>
  </si>
  <si>
    <t>https://doi.org/10.1145/3015783</t>
  </si>
  <si>
    <t>Companion of the 2024 ACM/IEEE International Conference on Human-Robot Interaction</t>
  </si>
  <si>
    <t>Proceedings of the 17th International Conference on PErvasive Technologies Related to Assistive Environments</t>
  </si>
  <si>
    <t>Other Names</t>
  </si>
  <si>
    <t>https://doi.org/10.1016/B978-0-12-396490-8.18005-X</t>
  </si>
  <si>
    <t>Cumulated Index</t>
  </si>
  <si>
    <t>https://doi.org/10.1016/S0022-5347(17)54783-7</t>
  </si>
  <si>
    <t>On the nature of ‘oblique’ objects in bitransitive constructions</t>
  </si>
  <si>
    <t>https://doi.org/10.1016/0024-3841(82)90026-2</t>
  </si>
  <si>
    <t>Dynamic behavior of a steam generator</t>
  </si>
  <si>
    <t>https://doi.org/10.1016/0029-5493(91)90266-K</t>
  </si>
  <si>
    <t>Allosteric activation of nicotinamide-adenine dinucleotide specific isocitrate dehydrogenase of neurospora</t>
  </si>
  <si>
    <t>https://doi.org/10.1016/0005-2787(65)90606-4</t>
  </si>
  <si>
    <t>Index</t>
  </si>
  <si>
    <t>https://doi.org/10.1016/B978-0-44-321619-0.00019-4</t>
  </si>
  <si>
    <t>Automated Depression Recognition Using Multimodal Machine Learning: A Study on the DAIC-WOZ Dataset</t>
  </si>
  <si>
    <t>https://cmcma.sbu.ac.ir/article_104428.html</t>
  </si>
  <si>
    <t>Scholar</t>
  </si>
  <si>
    <t>Rethinking Inconsistent Context and Imbalanced Regression in Depression Severity Prediction</t>
  </si>
  <si>
    <t>https://ieeexplore.ieee.org/abstract/document/10539130/</t>
  </si>
  <si>
    <t>Automatic depression recognition by intelligent speech signal processing: A systematic survey</t>
  </si>
  <si>
    <t>https://ietresearch.onlinelibrary.wiley.com/doi/abs/10.1049/cit2.12113</t>
  </si>
  <si>
    <t>Unveiling Hidden Patterns in Speech: Audio Signal-Based Approach</t>
  </si>
  <si>
    <t>https://books.google.com/books?hl=en&amp;lr=&amp;id=vTMmEQAAQBAJ&amp;oi=fnd&amp;pg=PA293&amp;dq=%22daic+woz%22+%22mae%22&amp;ots=Wck14FZsqN&amp;sig=ZV4eD6MZYXMdzf31omeQCO6DX1w</t>
  </si>
  <si>
    <t>Autοmated depressiοn level estimatiοn: a study οn discοurse structure, input representatiοn and clinical reliability</t>
  </si>
  <si>
    <t>https://theses.hal.science/tel-04785437/</t>
  </si>
  <si>
    <t>Robust and Explainable Depression Identification from Speech Using Vowel-Based Ensemble Learning Approaches</t>
  </si>
  <si>
    <t>https://arxiv.org/abs/2410.18298</t>
  </si>
  <si>
    <t>Enhanced machine learning framework for autonomous depression detection using modwave cepstral fusion and stochastic embedding</t>
  </si>
  <si>
    <t>https://plantprotect.ru/index.php/sp/article/view/16527</t>
  </si>
  <si>
    <t>Analyzing Symptom-based Depression Level Estimation through the Prism of Psychiatric Expertise</t>
  </si>
  <si>
    <t>https://aclanthology.org/2024.lrec-main.87/</t>
  </si>
  <si>
    <t>Evaluating Lexicon Incorporation for Depression Symptom Estimation</t>
  </si>
  <si>
    <t>https://arxiv.org/abs/2404.19359</t>
  </si>
  <si>
    <t>Automatic assessment of depression from speech via a hierarchical attention transfer network and attention autoencoders</t>
  </si>
  <si>
    <t>https://ieeexplore.ieee.org/abstract/document/8910358/</t>
  </si>
  <si>
    <t>Detecting depression from text: A gender based comparative approach using Machine learning and BERT embeddings</t>
  </si>
  <si>
    <t>https://vital.lib.tsu.ru/vital/access/services/Download/koha:001146787/SOURCE1</t>
  </si>
  <si>
    <t>Automatic depression severity assessment with deep learning using parameter-efficient tuning</t>
  </si>
  <si>
    <t>https://www.frontiersin.org/articles/10.3389/fpsyt.2023.1160291/full</t>
  </si>
  <si>
    <t>Gender Fairness in Mental Disorder Detection using Multi Modal Models</t>
  </si>
  <si>
    <t>https://studenttheses.uu.nl/bitstream/handle/20.500.12932/46900/Mart_Koek_MSc_thesis.pdf?sequence=1</t>
  </si>
  <si>
    <t>Gender-aware estimation of depression severity level in a multimodal setting</t>
  </si>
  <si>
    <t>https://ieeexplore.ieee.org/abstract/document/9534330/</t>
  </si>
  <si>
    <t>Unveiling Hidden Patterns in Speech: Audio Signal-Based Approach for Depression Detection</t>
  </si>
  <si>
    <t>https://link.springer.com/chapter/10.1007/978-981-97-6103-6_19</t>
  </si>
  <si>
    <t>Benchmarking Different Classification Techniques To Identify Depression Patterns In An Audio And Text Dataset.</t>
  </si>
  <si>
    <t>https://search.ebscohost.com/login.aspx?direct=true&amp;profile=ehost&amp;scope=site&amp;authtype=crawler&amp;jrnl=1735188X&amp;AN=161072639&amp;h=%2BufYzECkzG%2F4RTBF9Nsm8fQqe81ebvHBjGMR8Sfm8QOg8GGcAhg%2FaT9OEEsYoci%2B41lKJRIJfK8vGM%2BMH9YZAQ%3D%3D&amp;crl=c</t>
  </si>
  <si>
    <t>A Layered Multi-Expert Framework for Long-Context Mental Health Assessments</t>
  </si>
  <si>
    <t>https://arxiv.org/abs/2501.13951</t>
  </si>
  <si>
    <t>Multitask representation learning for multimodal estimation of depression level</t>
  </si>
  <si>
    <t>https://ieeexplore.ieee.org/abstract/document/8910655/</t>
  </si>
  <si>
    <t>Additive cross-modal attention network (ACMA) for depression detection based on audio and textual features</t>
  </si>
  <si>
    <t>https://ieeexplore.ieee.org/abstract/document/10419326/</t>
  </si>
  <si>
    <t>Multimodal E2E framework for depression classification: Preliminary results</t>
  </si>
  <si>
    <t>https://pubs.aip.org/aip/acp/article-abstract/3030/1/030001/3272433</t>
  </si>
  <si>
    <t>Automatic Depression Assessment using Deep Learning Techniques</t>
  </si>
  <si>
    <t>https://search.proquest.com/openview/16dccfaf495856185af130cde1c6959d/1?pq-origsite=gscholar&amp;cbl=18750&amp;diss=y</t>
  </si>
  <si>
    <t>Test-Time Training for Depression Detection</t>
  </si>
  <si>
    <t>https://arxiv.org/abs/2404.05071</t>
  </si>
  <si>
    <t>Depression detection using cascaded attention based deep learning framework using speech data</t>
  </si>
  <si>
    <t>https://link.springer.com/article/10.1007/s11042-023-18076-w</t>
  </si>
  <si>
    <t>Estimatiοn οf depressiοn level frοm text: symptοm-based apprοach, external knοwledge, dataset validity</t>
  </si>
  <si>
    <t>https://theses.hal.science/tel-04823166/</t>
  </si>
  <si>
    <t>Using graph representation learning with schema encoders to measure the severity of depressive symptoms</t>
  </si>
  <si>
    <t>https://eprints.whiterose.ac.uk/186629/</t>
  </si>
  <si>
    <t>Facial Depression Estimation via Multi-Cue Contrastive Learning</t>
  </si>
  <si>
    <t>https://ieeexplore.ieee.org/abstract/document/10852375/</t>
  </si>
  <si>
    <t>Self-Attention Mechanism and Balanced Loss Function Based Gated Recurrent Unit for Mental Disorder Detection System</t>
  </si>
  <si>
    <t>https://ieeexplore.ieee.org/abstract/document/10860087/</t>
  </si>
  <si>
    <t>Scoping review on the multimodal classification of depression and experimental study on existing multimodal models</t>
  </si>
  <si>
    <t>https://www.mdpi.com/2075-4418/12/11/2683</t>
  </si>
  <si>
    <t>Multimodal depression detection using deep learning in the workplace</t>
  </si>
  <si>
    <t>https://ieeexplore.ieee.org/abstract/document/10468966/</t>
  </si>
  <si>
    <t>Spatial–temporal feature network for speech-based depression recognition</t>
  </si>
  <si>
    <t>https://ieeexplore.ieee.org/abstract/document/10120969/</t>
  </si>
  <si>
    <t>Multimodal mental state analysis</t>
  </si>
  <si>
    <t>https://link.springer.com/article/10.1007/s10742-024-00329-2</t>
  </si>
  <si>
    <t>Depression diagnosis and analysis via multimodal multi-order factor fusion</t>
  </si>
  <si>
    <t>https://link.springer.com/chapter/10.1007/978-3-031-72353-7_5</t>
  </si>
  <si>
    <t>Mental Health Sensing Using Machine Learning</t>
  </si>
  <si>
    <t>https://digital.wpi.edu/downloads/c821gn04q</t>
  </si>
  <si>
    <t>Text-based depression detection on sparse data</t>
  </si>
  <si>
    <t>https://arxiv.org/abs/1904.05154</t>
  </si>
  <si>
    <t>Climate and weather: Inspecting depression detection via emotion recognition</t>
  </si>
  <si>
    <t>https://ieeexplore.ieee.org/abstract/document/9746634/</t>
  </si>
  <si>
    <t>Multi-modal depression estimation based on sub-attentional fusion</t>
  </si>
  <si>
    <t>https://link.springer.com/chapter/10.1007/978-3-031-25075-0_42</t>
  </si>
  <si>
    <t>Improving depression level estimation by concurrently learning emotion intensity</t>
  </si>
  <si>
    <t>https://ieeexplore.ieee.org/abstract/document/9141494/</t>
  </si>
  <si>
    <t>Depression Severity Estimation Using Learned Vocal Biomarkers</t>
  </si>
  <si>
    <t>https://www2.eecs.berkeley.edu/Pubs/TechRpts/2022/EECS-2022-255.pdf</t>
  </si>
  <si>
    <t>Dual Layer Cogni-Insight Deep-Mood Encoder: A Two-Tiered Approach for Depression Detection</t>
  </si>
  <si>
    <t>https://ieeexplore.ieee.org/abstract/document/10516113/</t>
  </si>
  <si>
    <t>A Comprehensive Survey on Depression Detection Techniques</t>
  </si>
  <si>
    <t>https://www.publications.scrs.in/uploads/final_menuscript/26830473c98319e46c72dcf9893a3c43.pdf</t>
  </si>
  <si>
    <t>Mental State Recognition Through Speech Analysis Using Bidirectional Long Short-Term Memory Network and Convolutional Neural Network Hybrid Model</t>
  </si>
  <si>
    <t>https://ieeexplore.ieee.org/abstract/document/10690712/</t>
  </si>
  <si>
    <t>Scoping Review on the Multimodal Classification of Depression and Experimental Study on Existing Multimodal Models. Diagnostics 2022, 12, 2683</t>
  </si>
  <si>
    <t>https://www.researchgate.net/profile/Nejc-Plohl/publication/365097413_Scoping_Review_on_the_Multimodal_Classification_of_Depression_and_Experimental_Study_on_Existing_Multimodal_Models/links/6364c3f354eb5f547ca0712b/Scoping-Review-on-the-Multimodal-Classification-of-Depression-and-Experimental-Study-on-Existing-Multimodal-Models.pdf</t>
  </si>
  <si>
    <t>Unaligned multimodal sequences for depression assessment from speech</t>
  </si>
  <si>
    <t>https://ieeexplore.ieee.org/abstract/document/9871556/</t>
  </si>
  <si>
    <t>Enhancing depression detection through advanced text analysis: Integrating BERT, autoencoder, and LSTM models</t>
  </si>
  <si>
    <t>https://www.researchsquare.com/article/rs-2782391/latest</t>
  </si>
  <si>
    <t>Towards automatic depression detection: A BiLSTM/1D CNN-based model</t>
  </si>
  <si>
    <t>https://www.mdpi.com/2076-3417/10/23/8701</t>
  </si>
  <si>
    <t>Multimodal depression detection using a deep feature fusion network</t>
  </si>
  <si>
    <t>https://www.spiedigitallibrary.org/conference-proceedings-of-spie/12506/125066A/Multimodal-depression-detection-using-a-deep-feature-fusion-network/10.1117/12.2662620.short</t>
  </si>
  <si>
    <t>An investigation on the audio-video data based estimation of emotion regulation difficulties and their association with mental disorders</t>
  </si>
  <si>
    <t>https://ieeexplore.ieee.org/abstract/document/10186888/</t>
  </si>
  <si>
    <t>Multimodal depression detection using task-oriented transformer-based embedding</t>
  </si>
  <si>
    <t>https://ieeexplore.ieee.org/abstract/document/9913044/</t>
  </si>
  <si>
    <t>Multimodal Machine Learning in Mental Health: A Survey of Data, Algorithms, and Challenges</t>
  </si>
  <si>
    <t>https://arxiv.org/abs/2407.16804</t>
  </si>
  <si>
    <t>Improving depression assessment with multi-task learning from speech and text information</t>
  </si>
  <si>
    <t>https://ieeexplore.ieee.org/abstract/document/9723273/</t>
  </si>
  <si>
    <t>Depression Scale Dictionary Decomposition Framework for Multimodal Automatic Depression Level Prediction</t>
  </si>
  <si>
    <t>https://ieeexplore.ieee.org/abstract/document/10851289/</t>
  </si>
  <si>
    <t>Depression recognition from speech</t>
  </si>
  <si>
    <t>https://dione.lib.unipi.gr/xmlui/handle/unipi/14789</t>
  </si>
  <si>
    <t>Automatic recognition of depression based on audio and video: a review</t>
  </si>
  <si>
    <t>https://pmc.ncbi.nlm.nih.gov/articles/PMC10921287/</t>
  </si>
  <si>
    <t>Systematic Literature Review of Transformer Model Implementations in Detecting Depression</t>
  </si>
  <si>
    <t>https://ieeexplore.ieee.org/abstract/document/10331448/</t>
  </si>
  <si>
    <t>Parallel Multiscale Bridge Fusion Network for Audio-Visual Automatic Depression Assessment</t>
  </si>
  <si>
    <t>https://ieeexplore.ieee.org/abstract/document/10606486/</t>
  </si>
  <si>
    <t>DCNN and DNN based multi-modal depression recognition</t>
  </si>
  <si>
    <t>https://ieeexplore.ieee.org/abstract/document/8273643/</t>
  </si>
  <si>
    <t>Machine learning for mental health screening</t>
  </si>
  <si>
    <t>https://digital.wpi.edu/downloads/9593tz15j</t>
  </si>
  <si>
    <t>Detecting Depression from Speech with Residual Learning</t>
  </si>
  <si>
    <t>https://norma.ncirl.ie/4401/</t>
  </si>
  <si>
    <t>Quantificação Multimodal de Doenças Mentais Através de Aprendizagem Máquina</t>
  </si>
  <si>
    <t>https://search.proquest.com/openview/4689eff848a180162d7137c572bae4fc/1?pq-origsite=gscholar&amp;cbl=2026366&amp;diss=y</t>
  </si>
  <si>
    <t>The Verbal and Non Verbal Signals of Depression--Combining Acoustics, Text and Visuals for Estimating Depression Level</t>
  </si>
  <si>
    <t>https://arxiv.org/abs/1904.07656</t>
  </si>
  <si>
    <t>Graph attention model embedded with multi-modal knowledge for depression detection</t>
  </si>
  <si>
    <t>https://ieeexplore.ieee.org/abstract/document/9102872/</t>
  </si>
  <si>
    <t>Real Time Speech Emotion Recognition Using LSTM and Raspberry Pi</t>
  </si>
  <si>
    <t>https://ieeexplore.ieee.org/abstract/document/10334183/</t>
  </si>
  <si>
    <t>Depression detection through transformers-based emotion recognition in multivariate time series facial data</t>
  </si>
  <si>
    <t>https://www.researchgate.net/profile/Bens-Pardamean/publication/389068508_Depression_detection_through_transformers-based_emotion_recognition_in_multivariate_time_series_facial_data/links/67b3e4e58311ce680c671eec/Depression-detection-through-transformers-based-emotion-recognition-in-multivariate-time-series-facial-data.pdf</t>
  </si>
  <si>
    <t>Multimodal gender fairness in depression prediction: Insights on data from the usa &amp; china</t>
  </si>
  <si>
    <t>https://arxiv.org/abs/2408.04026</t>
  </si>
  <si>
    <t>Clinical depression and affect recognition with EmoAudioNet</t>
  </si>
  <si>
    <t>https://www.academia.edu/download/117107606/1911.00310v1.pdf</t>
  </si>
  <si>
    <t>A novel automated depression detection technique using text transcript</t>
  </si>
  <si>
    <t>https://onlinelibrary.wiley.com/doi/abs/10.1002/ima.22793</t>
  </si>
  <si>
    <t>Towards Robust Deep Neural Networks for Affect and Depression Recognition</t>
  </si>
  <si>
    <t>https://www.academia.edu/download/117107610/1911.00310v3.pdf</t>
  </si>
  <si>
    <t>An Ordinal Approach to Affective Computing</t>
  </si>
  <si>
    <t>https://search.proquest.com/openview/ae8ec798e6b297aa002de9d2c8a3e73e/1?pq-origsite=gscholar&amp;cbl=2026366&amp;diss=y</t>
  </si>
  <si>
    <t>Encoding visual behaviors with attentive temporal convolution for depression prediction</t>
  </si>
  <si>
    <t>https://ieeexplore.ieee.org/abstract/document/8756584/</t>
  </si>
  <si>
    <t>In-the-wild detection of speech affecting diseases</t>
  </si>
  <si>
    <t>https://kilthub.cmu.edu/ndownloader/files/43913658</t>
  </si>
  <si>
    <t>Depression recognition over fusion of visual and vocal expression using artificial intelligence</t>
  </si>
  <si>
    <t>https://www.academia.edu/download/117378214/18329.pdf</t>
  </si>
  <si>
    <t>Survey on artificial intelligence-based depression detection using clinical interview data</t>
  </si>
  <si>
    <t>https://ieeexplore.ieee.org/abstract/document/9951984/</t>
  </si>
  <si>
    <t>Analyzing important statistical features from facial behavior in human depression using XGBoost</t>
  </si>
  <si>
    <t>https://scik.org/index.php/cmbn/article/view/7916</t>
  </si>
  <si>
    <t>Depression Detection and Analysis using Large Language Models on Textual and Audio-Visual Modalities</t>
  </si>
  <si>
    <t>https://arxiv.org/abs/2407.06125</t>
  </si>
  <si>
    <t>Hybrid CNN-SVM classifier for efficient depression detection system</t>
  </si>
  <si>
    <t>https://ieeexplore.ieee.org/abstract/document/9318302/</t>
  </si>
  <si>
    <t>Automatic detection of visual cues associated to depression</t>
  </si>
  <si>
    <t>https://theses.hal.science/tel-02122342/</t>
  </si>
  <si>
    <t>Evaluating the Performance of eGeMAPS Features in Depression Detection Using E-Daic Subsets</t>
  </si>
  <si>
    <t>https://search.proquest.com/openview/be3fee0905515d1b7183ea03ef5050f0/1?pq-origsite=gscholar&amp;cbl=18750&amp;diss=y</t>
  </si>
  <si>
    <t>A Comprehensive Analysis of Speech Depression Recognition Systems</t>
  </si>
  <si>
    <t>https://ieeexplore.ieee.org/abstract/document/10500078/</t>
  </si>
  <si>
    <t>GPT-4 on Clinic Depression Assessment: An LLM-Based Pilot Study</t>
  </si>
  <si>
    <t>https://ieeexplore.ieee.org/abstract/document/10825184/</t>
  </si>
  <si>
    <t>Depression scale recognition from audio, visual and text analysis</t>
  </si>
  <si>
    <t>https://arxiv.org/abs/1709.05865</t>
  </si>
  <si>
    <t>Human behaviour-based automatic depression analysis using hand-crafted statistics and deep learned spectral features</t>
  </si>
  <si>
    <t>https://ieeexplore.ieee.org/abstract/document/8373825/</t>
  </si>
  <si>
    <t>Automatic Text-Based Estimation of Depression Symptoms</t>
  </si>
  <si>
    <t>https://dias.users.greyc.fr/publications/cfp2023b.pdf</t>
  </si>
  <si>
    <t>Enhanced depression detection from facial cues using univariate feature selection techniques</t>
  </si>
  <si>
    <t>https://link.springer.com/chapter/10.1007/978-3-030-34869-4_3</t>
  </si>
  <si>
    <t>Connecting Patients with Pre-diagnosis: A Multiple Graph Regularized Method for Mental Disorder Diagnosis</t>
  </si>
  <si>
    <t>https://link.springer.com/chapter/10.1007/978-3-031-20500-2_30</t>
  </si>
  <si>
    <t>Synthetic data generation with LLM for improved depression prediction</t>
  </si>
  <si>
    <t>https://arxiv.org/abs/2411.17672</t>
  </si>
  <si>
    <t>Ordinal logistic regression with partial proportional odds for depression prediction</t>
  </si>
  <si>
    <t>https://ieeexplore.ieee.org/abstract/document/9229492/</t>
  </si>
  <si>
    <t>Machine Learning-Based Approaches for Early Prediction of Depression</t>
  </si>
  <si>
    <t>https://ieeexplore.ieee.org/abstract/document/10467234/</t>
  </si>
  <si>
    <t>Detecting depression using natural language processing (NLP) techniques</t>
  </si>
  <si>
    <t>https://ieeexplore.ieee.org/abstract/document/10510627/</t>
  </si>
  <si>
    <t>Advancements in affective disorder detection: Using multimodal physiological signals and neuromorphic computing based on snns</t>
  </si>
  <si>
    <t>https://ieeexplore.ieee.org/abstract/document/10608486/</t>
  </si>
  <si>
    <t>On the optimum speech segment length for depression detection</t>
  </si>
  <si>
    <t>https://ieeexplore.ieee.org/abstract/document/9057319/</t>
  </si>
  <si>
    <t>A brief review of machine learning methods used in mental health research</t>
  </si>
  <si>
    <t>https://ieeexplore.ieee.org/abstract/document/10169520/</t>
  </si>
  <si>
    <t>Automated voice biomarkers for depression symptoms using an online cross‐sectional data collection initiative</t>
  </si>
  <si>
    <t>https://onlinelibrary.wiley.com/doi/abs/10.1002/da.23020</t>
  </si>
  <si>
    <t>An Analysis and Detection of Depression from Textual Data using Deep Learning Methods</t>
  </si>
  <si>
    <t>https://ieeexplore.ieee.org/abstract/document/10690434/</t>
  </si>
  <si>
    <t>Development of sorrow analysis dataset for speech depression prediction</t>
  </si>
  <si>
    <t>https://ieeexplore.ieee.org/abstract/document/10176040/</t>
  </si>
  <si>
    <t>Review of automated depression detection: Social posts, audio and video, open challenges and future direction</t>
  </si>
  <si>
    <t>https://onlinelibrary.wiley.com/doi/abs/10.1002/cpe.7407</t>
  </si>
  <si>
    <t>A review of machine learning and deep learning approaches on mental health diagnosis</t>
  </si>
  <si>
    <t>https://www.mdpi.com/2227-9032/11/3/285</t>
  </si>
  <si>
    <t>LLM Questionnaire Completion for Automatic Psychiatric Assessment</t>
  </si>
  <si>
    <t>https://arxiv.org/abs/2406.06636</t>
  </si>
  <si>
    <t>基于跨模态特征重构与解耦网络的多模态抑郁症检测方法.</t>
  </si>
  <si>
    <t>https://search.ebscohost.com/login.aspx?direct=true&amp;profile=ehost&amp;scope=site&amp;authtype=crawler&amp;jrnl=10013695&amp;AN=182318241&amp;h=T8GMeTU1kn81pAfggshwj0wc%2BfBnItKT8YZHeHTQSaZbzXP4CtHlOLU6Skaayi0Q7MM9Gv5yniSjwOlXoyBLKw%3D%3D&amp;crl=c</t>
  </si>
  <si>
    <t>Using Wearable and Structured Emotion-Sensing-Graphs for Assessment of Depressive Symptoms in Patients Undergoing Treatment</t>
  </si>
  <si>
    <t>https://ieeexplore.ieee.org/abstract/document/10353974/</t>
  </si>
  <si>
    <t>Avengers Assemble: Amalgamation of Non-Semantic Features for Depression Detection</t>
  </si>
  <si>
    <t>https://arxiv.org/abs/2409.14312</t>
  </si>
  <si>
    <t>A multi-modal feature layer fusion model for assessment of depression based on attention mechanisms</t>
  </si>
  <si>
    <t>https://ieeexplore.ieee.org/abstract/document/9979894/</t>
  </si>
  <si>
    <t>The capability of large language models to measure psychiatric functioning</t>
  </si>
  <si>
    <t>https://arxiv.org/abs/2308.01834</t>
  </si>
  <si>
    <t>“It's not Fair!”–Fairness for a Small Dataset of Multi-modal Dyadic Mental Well-being Coaching</t>
  </si>
  <si>
    <t>https://ieeexplore.ieee.org/abstract/document/10388118/</t>
  </si>
  <si>
    <t>Semi-structural interview-based Chinese multimodal depression corpus towards automatic preliminary screening of depressive disorders</t>
  </si>
  <si>
    <t>https://ieeexplore.ieee.org/abstract/document/9793717/</t>
  </si>
  <si>
    <t>A Comprehensive Analysis of Psychiatric Disorders Using Deep Learning</t>
  </si>
  <si>
    <t>https://ieeexplore.ieee.org/abstract/document/10442235/</t>
  </si>
  <si>
    <t>Detecting Depression with Word-Level Multimodal Fusion.</t>
  </si>
  <si>
    <t>https://pdfs.semanticscholar.org/023f/954745e84062c6190f08c9a250fab446fa35.pdf</t>
  </si>
  <si>
    <t>Tackling Depression Detection with deep learning a Hybrid Model</t>
  </si>
  <si>
    <t>https://ieeexplore.ieee.org/abstract/document/10617226/</t>
  </si>
  <si>
    <t>A Review of Studies Using Machine Learning to Detect Voice Biomarkers for Depression</t>
  </si>
  <si>
    <t>https://link.springer.com/article/10.1007/s41347-024-00454-2</t>
  </si>
  <si>
    <t>Automated facial video-based recognition of depression and anxiety symptom severity: cross-corpus validation</t>
  </si>
  <si>
    <t>https://link.springer.com/article/10.1007/s00138-020-01080-7</t>
  </si>
  <si>
    <t>Automatic assessment of depression based on visual cues: A systematic review</t>
  </si>
  <si>
    <t>https://ieeexplore.ieee.org/abstract/document/8052569/</t>
  </si>
  <si>
    <t>An Effective Depression Diagnostic System Using Speech Signal Analysis Through Deep Learning Methods</t>
  </si>
  <si>
    <t>https://www.worldscientific.com/doi/abs/10.1142/S0218213023400043</t>
  </si>
  <si>
    <t>Patient Privacy in Paralinguistic Tasks.</t>
  </si>
  <si>
    <t>https://www.academia.edu/download/100820447/84221a0d7f4882b480f48a0c32df41907d5f.pdf</t>
  </si>
  <si>
    <t>Depression Detection using Machine Learning Techniques</t>
  </si>
  <si>
    <t>https://repositories.nust.edu.pk/xmlui/handle/123456789/27578</t>
  </si>
  <si>
    <t>DeepScreen: Boosting Depression Screening Performance with an Auxiliary Task</t>
  </si>
  <si>
    <t>https://ieeexplore.ieee.org/abstract/document/10386595/</t>
  </si>
  <si>
    <t>ParaLBench: a Large-Scale Benchmark for Computational Paralinguistics over Acoustic Foundation Models</t>
  </si>
  <si>
    <t>https://ieeexplore.ieee.org/abstract/document/10767298/</t>
  </si>
  <si>
    <t>Cost-effective models for detecting depression from speech</t>
  </si>
  <si>
    <t>https://ieeexplore.ieee.org/abstract/document/10069386/</t>
  </si>
  <si>
    <t>D-ResNet-PVKELM: deep neural network and paragraph vector based kernel extreme machine learning model for multimodal depression analysis</t>
  </si>
  <si>
    <t>https://link.springer.com/article/10.1007/s11042-023-14351-y</t>
  </si>
  <si>
    <t>Prediction of Relapse in Adolescent Depression using Fusion of Video and Speech Data</t>
  </si>
  <si>
    <t>https://ceur-ws.org/Vol-3649/Paper22.pdf</t>
  </si>
  <si>
    <t>Automatic depression level assessment from speech by long-term global information embedding</t>
  </si>
  <si>
    <t>https://ieeexplore.ieee.org/abstract/document/9747292/</t>
  </si>
  <si>
    <t>Harnessing multimodal approaches for depression detection using large language models and facial expressions</t>
  </si>
  <si>
    <t>https://www.nature.com/articles/s44184-024-00112-8</t>
  </si>
  <si>
    <t>Leveraging Audio and Text Modalities in Mental Health: A Study of LLMs Performance</t>
  </si>
  <si>
    <t>https://arxiv.org/abs/2412.10417</t>
  </si>
  <si>
    <t>Cebench: A benchmarking toolkit for the cost-effectiveness of llm pipelines</t>
  </si>
  <si>
    <t>https://arxiv.org/abs/2407.12797</t>
  </si>
  <si>
    <t>Hybrid Approach for Enhanced Depression Detection using Learning Techniques.</t>
  </si>
  <si>
    <t>https://search.ebscohost.com/login.aspx?direct=true&amp;profile=ehost&amp;scope=site&amp;authtype=crawler&amp;jrnl=2158107X&amp;AN=177050333&amp;h=bMYaHl167fj1dOWczHYyKpfz4MsNhJLfrzq1%2BMGPOKGnGiF96VltvXjKA9eb8QFDZS5oRyRk26uDNjb%2FXBvAOA%3D%3D&amp;crl=c</t>
  </si>
  <si>
    <t>Small but Fair! Fairness for Multimodal Human-Human and Robot-Human Mental Wellbeing Coaching</t>
  </si>
  <si>
    <t>https://arxiv.org/abs/2407.01562</t>
  </si>
  <si>
    <t>Zero-Shot Strike: Testing the generalisation capabilities of out-of-the-box LLM models for depression detection</t>
  </si>
  <si>
    <t>https://www.sciencedirect.com/science/article/pii/S0885230824000469</t>
  </si>
  <si>
    <t>Analyse de l'estimation du niveau de dépression basée sur les symptômes à travers le prisme de l'expertise des psychiatres</t>
  </si>
  <si>
    <t>https://dias.users.greyc.fr/publications/cfp2023a.pdf</t>
  </si>
  <si>
    <t>Detecting signs of depression using social media texts through an ensemble of ensemble classifiers</t>
  </si>
  <si>
    <t>https://sentic.net/detecting-signs-of-depression.pdf</t>
  </si>
  <si>
    <t>Depression Prediction of Human Using Advanced Technology and Medical Imaging</t>
  </si>
  <si>
    <t>https://ieeexplore.ieee.org/abstract/document/9914245/</t>
  </si>
  <si>
    <t>DepITCM: an audio-visual method for detecting depression</t>
  </si>
  <si>
    <t>https://www.frontiersin.org/journals/psychiatry/articles/10.3389/fpsyt.2024.1466507/full</t>
  </si>
  <si>
    <t>SouLLMate: An Application Enhancing Diverse Mental Health Support with Adaptive LLMs, Prompt Engineering, and RAG Techniques</t>
  </si>
  <si>
    <t>https://arxiv.org/abs/2410.16322</t>
  </si>
  <si>
    <t>Emotional Inference from Speech Signals Informed by Multiple Stream DNNs Based Non-Local Attention Mechanism</t>
  </si>
  <si>
    <t>https://pdfs.semanticscholar.org/1a15/65c55fc22b685415a696ed46756c2b65d990.pdf</t>
  </si>
  <si>
    <t>Smart voice recognition based on deep learning for depression diagnosis</t>
  </si>
  <si>
    <t>https://link.springer.com/article/10.1007/s10015-023-00852-4</t>
  </si>
  <si>
    <t>Depressionmlp: A multi-layer perceptron architecture for automatic depression level prediction via facial keypoints and action units</t>
  </si>
  <si>
    <t>https://ieeexplore.ieee.org/abstract/document/10480450/</t>
  </si>
  <si>
    <t>Neural architecture searching for facial attributes-based depression recognition</t>
  </si>
  <si>
    <t>https://ieeexplore.ieee.org/abstract/document/9956537/</t>
  </si>
  <si>
    <t>Measuring the severity of depression from text using graph representation learning</t>
  </si>
  <si>
    <t>https://etheses.whiterose.ac.uk/id/eprint/32303/</t>
  </si>
  <si>
    <t>Appendix E: Detecting Depression with Word-Level Multimodal Fusion</t>
  </si>
  <si>
    <t>http://embeddia.eu/wp-content/uploads/EMBEDDIA-D32-InitialCrosslingualCommentAnalysis-T31-submitted.pdf#page=56</t>
  </si>
  <si>
    <t>Multi-modal depression detection and estimation</t>
  </si>
  <si>
    <t>https://ieeexplore.ieee.org/abstract/document/8925288/</t>
  </si>
  <si>
    <t>An historical overview of artificial intelligence for diagnosis of major depressive disorder</t>
  </si>
  <si>
    <t>https://www.frontiersin.org/journals/psychiatry/articles/10.3389/fpsyt.2024.1417253/full</t>
  </si>
  <si>
    <t>Machine Learning based approaches for Identification and Prediction of diverse Mental Health Conditions</t>
  </si>
  <si>
    <t>https://ieeexplore.ieee.org/abstract/document/10263141/</t>
  </si>
  <si>
    <t>Explainable Multi-Layer Dynamic Ensemble Framework Optimized for Depression Detection and Severity Assessment</t>
  </si>
  <si>
    <t>https://www.mdpi.com/2075-4418/14/21/2385</t>
  </si>
  <si>
    <t>Facial depression recognition by deep joint label distribution and metric learning</t>
  </si>
  <si>
    <t>https://ieeexplore.ieee.org/abstract/document/9187982/</t>
  </si>
  <si>
    <t>A REVIEW ON MACHINE LEARNING APPROACHES FOR THE DETECTION OF SUICIDAL TENDENCIES</t>
  </si>
  <si>
    <t>https://cyberleninka.ru/article/n/a-review-on-machine-learning-approaches-for-the-detection-of-suicidal-tendencies</t>
  </si>
  <si>
    <t>A comprehensive review on synergy of multi-modal data and ai technologies in medical diagnosis</t>
  </si>
  <si>
    <t>https://www.mdpi.com/2306-5354/11/3/219</t>
  </si>
  <si>
    <t>Prototype-based Classifier for Automatic Diagnosis of Depressive Mood</t>
  </si>
  <si>
    <t>https://ieeexplore.ieee.org/abstract/document/8471736/</t>
  </si>
  <si>
    <t>Depression detection using speech audio and text: A comprehensive review focusing on deep learning methods</t>
  </si>
  <si>
    <t>https://www.authorea.com/doi/pdf/10.22541/au.172474607.71425235</t>
  </si>
  <si>
    <t>Depac: a corpus for depression and anxiety detection from speech</t>
  </si>
  <si>
    <t>https://arxiv.org/abs/2306.12443</t>
  </si>
  <si>
    <t>Аналитический обзор систем автоматического определения депрессии по речи</t>
  </si>
  <si>
    <t>https://ia.spcras.ru/index.php/sp/article/view/14930</t>
  </si>
  <si>
    <t>Multimodal machine learning in medical screenings</t>
  </si>
  <si>
    <t>https://theses.gla.ac.uk/83883/</t>
  </si>
  <si>
    <t>Deep multi-modal network based automated depression severity estimation</t>
  </si>
  <si>
    <t>https://ieeexplore.ieee.org/abstract/document/9786615/</t>
  </si>
  <si>
    <t>Acoustic and Linguistic Analysis in Neurological and Psychiatric Disorders</t>
  </si>
  <si>
    <t>https://books.google.com/books?hl=en&amp;lr=&amp;id=Dew8EQAAQBAJ&amp;oi=fnd&amp;pg=PA1&amp;dq=%22daic+woz%22+%22mae%22&amp;ots=B8jrEhu5KN&amp;sig=ylBsfZqooT-lhLO1PnEdV4Cly-w</t>
  </si>
  <si>
    <t>Diagnostic automatique de l'état dépressif</t>
  </si>
  <si>
    <t>https://hal.science/hal-01838695v1/file/CNIA%2BRJCIA2018.pdf#page=113</t>
  </si>
  <si>
    <t>Depression Detection using Deep Learning Algorithms</t>
  </si>
  <si>
    <t>https://iiis.journals.ekb.eg/article_342001.html?trk=public_post_comment-text</t>
  </si>
  <si>
    <t>A comprehensive survey on the new generation intelligent depression detection systems: Techniques, applications and research challenges</t>
  </si>
  <si>
    <t>https://ieeexplore.ieee.org/abstract/document/9823463/</t>
  </si>
  <si>
    <t>Faces of the Mind: Unveiling Mental Health States Through Facial Expressions in 11,427 Adolescents</t>
  </si>
  <si>
    <t>https://arxiv.org/abs/2405.20072</t>
  </si>
  <si>
    <t>Textual-dominated Multimodal Depression Detection</t>
  </si>
  <si>
    <t>https://ieeexplore.ieee.org/abstract/document/10746029/</t>
  </si>
  <si>
    <t>Expresso-AI: An Explainable Video-Based Deep Learning Models for Depression Diagnosis</t>
  </si>
  <si>
    <t>https://ieeexplore.ieee.org/abstract/document/10388143/</t>
  </si>
  <si>
    <t>Detect depression from communication: How computer vision, signal processing, and sentiment analysis join forces</t>
  </si>
  <si>
    <t>https://www.tandfonline.com/doi/abs/10.1080/24725579.2018.1496494</t>
  </si>
  <si>
    <t>Mental health impact of COVID-19 and machine learning applications in combating mental disorders: a review</t>
  </si>
  <si>
    <t>https://www.sciencedirect.com/science/article/pii/B9780323911962000168</t>
  </si>
  <si>
    <t>Progress in multimodal affective computing: From machine learning to deep learning</t>
  </si>
  <si>
    <t>https://link.springer.com/chapter/10.1007/978-3-031-20541-5_6</t>
  </si>
  <si>
    <t>Automatic Depression Recognition Using Multi-scale Facial Behavior Dynamics</t>
  </si>
  <si>
    <t>https://ieeexplore.ieee.org/abstract/document/9828962/</t>
  </si>
  <si>
    <t>PHQ-V/GAD-V: Assessments to identify signals of depression and anxiety from patient video responses</t>
  </si>
  <si>
    <t>https://www.mdpi.com/2076-3417/12/18/9150</t>
  </si>
  <si>
    <t>Review of the Open Data Sets for Contactless Sensing</t>
  </si>
  <si>
    <t>https://ieeexplore.ieee.org/abstract/document/10387166/</t>
  </si>
  <si>
    <t>Automated Mental Disorders Assessment Using Machine Learning</t>
  </si>
  <si>
    <t>https://ruor.uottawa.ca/handle/10393/43014</t>
  </si>
  <si>
    <t>Prediction of Depression using Convolutional Neural Networksfrom Audio Visual Expression</t>
  </si>
  <si>
    <t>https://aissmsioitresearch.com/wp-content/uploads/2023/02/IJTEAMS-2-2-6.pdf</t>
  </si>
  <si>
    <t>Explainable artificial intelligence for speech recognition</t>
  </si>
  <si>
    <t>https://dspace.spbu.ru/bitstream/11701/32548/2/reviewSV_Kozlova_review_Petrosyan_OL.pdf</t>
  </si>
  <si>
    <t>A Multi-Scale Complex Feature Refinement and Dynamic Convolution Attention-Aware Network for Depression and ADHD Assessment Using Speech</t>
  </si>
  <si>
    <t>https://www.techrxiv.org/doi/full/10.36227/techrxiv.171441660.05393293</t>
  </si>
  <si>
    <t>臨床インタビューデータを用いた自動うつ病診断</t>
  </si>
  <si>
    <t>https://www.ieice.org/publications/conference-FIT-DVDs/FIT2023/data/html/program/pdf/K-008.pdf</t>
  </si>
  <si>
    <t>Affect and personality aware analysis of speech content for automatic estimation of depression severity</t>
  </si>
  <si>
    <t>https://repository.bilkent.edu.tr/server/api/core/bitstreams/ea890b46-f1ef-4082-8f8c-80b9905ca91f/content</t>
  </si>
  <si>
    <t>A compositional approach to the simulation of queuing systems with random parameters</t>
  </si>
  <si>
    <t>https://journal-vniispk.ru/2713-3192</t>
  </si>
  <si>
    <t>Large language model for mental health: A systematic review</t>
  </si>
  <si>
    <t>https://arxiv.org/abs/2403.15401</t>
  </si>
  <si>
    <t>Multimodal prediction of obsessive-compulsive disorder, comorbid depression, and energy of deep brain stimulation</t>
  </si>
  <si>
    <t>https://ieeexplore.ieee.org/abstract/document/10510550/</t>
  </si>
  <si>
    <t>Machine learning in ADHD and depression mental health diagnosis: a survey</t>
  </si>
  <si>
    <t>https://ieeexplore.ieee.org/abstract/document/10214293/</t>
  </si>
  <si>
    <t>SouLLMate: An Adaptive LLM-Driven System for Advanced Mental Health Support and Assessment, Based on a Systematic Application Survey</t>
  </si>
  <si>
    <t>https://arxiv.org/abs/2410.11859</t>
  </si>
  <si>
    <t>Healthcare Applications and Security Concerns of Speech Processing Systems</t>
  </si>
  <si>
    <t>https://search.proquest.com/openview/f65602b3927a99b5875f367e1707b765/1?pq-origsite=gscholar&amp;cbl=18750&amp;diss=y</t>
  </si>
  <si>
    <t>Privacy-preserving paralinguistic tasks</t>
  </si>
  <si>
    <t>https://ieeexplore.ieee.org/abstract/document/8683595/</t>
  </si>
  <si>
    <t>An ensemble classification model for depression based on wearable device sleep data</t>
  </si>
  <si>
    <t>https://ieeexplore.ieee.org/abstract/document/10078251/</t>
  </si>
  <si>
    <t>Speech-based automatic depression detection via biomarkers identification and artificial intelligence approaches</t>
  </si>
  <si>
    <t>https://theses.gla.ac.uk/84055/</t>
  </si>
  <si>
    <t>Identifikasi Gangguan Kesehatan Mental Pada Remaja Generasi Z Menggunakan Artificial Neural Network</t>
  </si>
  <si>
    <t>https://jurnal.untan.ac.id/index.php/justin/article/view/86650</t>
  </si>
  <si>
    <t>Depression Symptom Identification Through Acoustic Speech Analysis: A Transfer Learning Approach.</t>
  </si>
  <si>
    <t>https://search.ebscohost.com/login.aspx?direct=true&amp;profile=ehost&amp;scope=site&amp;authtype=crawler&amp;jrnl=07650019&amp;AN=175839348&amp;h=Pf4k5RH5CaWAMBjKEbWD3M%2F7dmekrD76KMdvRYSZkuVXj%2BI%2BH5ufs5GDwS91ph1ErvbxRltutliDfP8%2BoDLAEA%3D%3D&amp;crl=c</t>
  </si>
  <si>
    <t>Deep representation learning for automatic depression detection from facial expressions</t>
  </si>
  <si>
    <t>https://oulurepo.oulu.fi/handle/10024/36921</t>
  </si>
  <si>
    <t>Silent Suffering: Using Machine Learning to Measure CEO Depression</t>
  </si>
  <si>
    <t>https://papers.ssrn.com/sol3/papers.cfm?abstract_id=4951519</t>
  </si>
  <si>
    <t>Speech-Based Emotion Modelling and Mental Disorder Detection</t>
  </si>
  <si>
    <t>https://www.repository.cam.ac.uk/items/04b5f922-bc7d-4b2e-b4ad-2950831b7fc8</t>
  </si>
  <si>
    <t>Machine learning algorithms for depression: diagnosis, insights, and research directions</t>
  </si>
  <si>
    <t>https://www.mdpi.com/2079-9292/11/7/1111</t>
  </si>
  <si>
    <t>TinyML for emotion detection in voice signals: evaluating and proposing algorithms for IoT wearable devices</t>
  </si>
  <si>
    <t>https://dspace.bracu.ac.bd/xmlui/handle/10361/24346</t>
  </si>
  <si>
    <t>Audio Based Signal Processing and Computational Models for Early Detection and Prediction of Dementia and Mood Disorders</t>
  </si>
  <si>
    <t>https://etheses.whiterose.ac.uk/id/eprint/26613/</t>
  </si>
  <si>
    <t>Multimodal depression detection: An investigation of features and fusion techniques for automated systems</t>
  </si>
  <si>
    <t>https://search.proquest.com/openview/d2eff695201f286d3035bd939d420e4f/1?pq-origsite=gscholar&amp;cbl=18750</t>
  </si>
  <si>
    <t>Multimodal analysis of depression in unconstrained environments</t>
  </si>
  <si>
    <t>http://eprints.nottingham.ac.uk/76647/</t>
  </si>
  <si>
    <t>Computer Science Review</t>
  </si>
  <si>
    <t>https://www.researchgate.net/profile/M-Dolores-Gonzalez-2/publication/382778910_A_survey_on_detecting_mental_disorders_with_natural_language_processing_Literature_review_trends_and_challenges/links/670f9a1d24a01038d0f03c4d/A-survey-on-detecting-mental-disorders-with-natural-language-processing-Literature-review-trends-and-challenges.pdf</t>
  </si>
  <si>
    <t>Магистерская диссертация Объяснимый искусственный интеллект для распознавания речи</t>
  </si>
  <si>
    <t>https://dissertatsia.ru/uploads/ready-work-files/674886f7ada9c_Magisterskaa_dissertacia_Kozlova_A.O..pdf</t>
  </si>
  <si>
    <t>Computational Approaches for Anxiety and Depression: A Meta-Analytical Perspective.</t>
  </si>
  <si>
    <t>https://search.ebscohost.com/login.aspx?direct=true&amp;profile=ehost&amp;scope=site&amp;authtype=crawler&amp;jrnl=20329407&amp;AN=182131321&amp;h=CYqEbu4r9U1owjtgaUBpF6dBgSFK%2FwIrlRcheoU94ZOmXULq2FMTNmgMgW0JJdt8vBZUzBNph3droxPFEnMhIw%3D%3D&amp;crl=c</t>
  </si>
  <si>
    <t>Biomedical engineering application: disease diagnosis and treatment</t>
  </si>
  <si>
    <t>https://era.library.ualberta.ca/items/06132c9c-d8a3-4135-a1b2-6dd369b40c6f</t>
  </si>
  <si>
    <t>A Comprehensive Study of Audio Profiling: Methods, Applications, Challenges, and Future Directions</t>
  </si>
  <si>
    <t>https://www.techrxiv.org/doi/full/10.36227/techrxiv.17</t>
  </si>
  <si>
    <t>Feature augmenting networks for improving depression severity estimation from speech signals</t>
  </si>
  <si>
    <t>https://ieeexplore.ieee.org/abstract/document/8976082/</t>
  </si>
  <si>
    <t>A comprehensive evaluation of large language models on mental illnesses</t>
  </si>
  <si>
    <t>https://arxiv.org/abs/2409.15687</t>
  </si>
  <si>
    <t>An investigation of acoustic, linguistic, and affect based methods for speech depression assessment</t>
  </si>
  <si>
    <t>https://unsworks.unsw.edu.au/entities/publication/686cfd4c-aeb4-4b2d-b8e4-710acf606387/full</t>
  </si>
  <si>
    <t>Brain and Heart Rate Variability Patterns Recognition for Depression Classification of Mental Health Disorder.</t>
  </si>
  <si>
    <t>https://search.ebscohost.com/login.aspx?direct=true&amp;profile=ehost&amp;scope=site&amp;authtype=crawler&amp;jrnl=2158107X&amp;AN=178870166&amp;h=z%2Fw2m1o8lL6z4sEcu2cvFLPRv0kychdism3l9btnvRdv7nfZ18Te%2BDpAgEY9xWcQU6MAQmxWbN7zSP7yr%2BDTWQ%3D%3D&amp;crl=c</t>
  </si>
  <si>
    <t>Affective computing for healthcare: Recent trends, applications, challenges, and beyond</t>
  </si>
  <si>
    <t>https://arxiv.org/abs/2402.13589</t>
  </si>
  <si>
    <t>Machine Learning Algorithms for Depression: Diagnosis, Insights, and Research Directions. Electronics 2022, 11, 1111</t>
  </si>
  <si>
    <t>https://www.academia.edu/download/100964433/pdf.pdf</t>
  </si>
  <si>
    <t>Prediction of depressive symptoms using machine learning classifiers</t>
  </si>
  <si>
    <t>https://iopscience.iop.org/book/edit/978-0-7503-5346-5/chapter/bk978-0-7503-5346-5ch5</t>
  </si>
  <si>
    <t>A Survey: Performance-aware Depression Detection</t>
  </si>
  <si>
    <t>https://ieeexplore.ieee.org/abstract/document/10112572/</t>
  </si>
  <si>
    <t>Machine Learning on Speech Audio for Extracting Indicators of Psychiatric and Neurodegenerative Conditions</t>
  </si>
  <si>
    <t>https://era.library.ualberta.ca/items/ee894dec-687c-4d8e-a304-17872305c567</t>
  </si>
  <si>
    <t>Pattern Recognition and Machine Intelligence: 8th International Conference, PReMI 2019, Tezpur, India, December 17-20, 2019, Proceedings, Part I</t>
  </si>
  <si>
    <t>https://books.google.com/books?hl=en&amp;lr=&amp;id=aRDADwAAQBAJ&amp;oi=fnd&amp;pg=PR5&amp;dq=%22daic+woz%22+%22mae%22&amp;ots=aSXazhy972&amp;sig=4-v390g8edYOiey9BwNGu0PFPPA</t>
  </si>
  <si>
    <t>Multimodal Assessment of Cognitive Decline: Applications in Alzheimer's Disease and Depression</t>
  </si>
  <si>
    <t>https://qmro.qmul.ac.uk/xmlui/handle/123456789/83537</t>
  </si>
  <si>
    <t>Automated Mental Illness Analysis Using Voice Samples</t>
  </si>
  <si>
    <t>https://www.researchgate.net/profile/Sowhardh-Honnappa-2/publication/377300872_Automated_Mental_Illness_Analysis_Using_Voice_Samples/links/659f148340ce1c5902d3bfc4/Automated-Mental-Illness-Analysis-Using-Voice-Samples.pdf</t>
  </si>
  <si>
    <t>Full Body Pedestrians Orientation Estimation using Machine Learning</t>
  </si>
  <si>
    <t>https://estudogeral.uc.pt/handle/10316/107772</t>
  </si>
  <si>
    <t>CRITICAL REVIEW OF STACK ENSEMBLE CLASSIFIER FOR THE PREDICTION OF YOUNG ADULTS'VOTING PATTERNS BASED ON PARENTS'POLITICAL …</t>
  </si>
  <si>
    <t>https://inform.nu/Articles/Vol27/InfoSciV27Art002Elo10089.pdf</t>
  </si>
  <si>
    <t>Detection of signs of depression based on a multimiodal approach</t>
  </si>
  <si>
    <t>https://inaoe.repositorioinstitucional.mx/jspui/handle/1009/2591</t>
  </si>
  <si>
    <t>Automated socio-cognitive assessment of patients with schizophrenia and depression</t>
  </si>
  <si>
    <t>https://dr.ntu.edu.sg/handle/10356/159257</t>
  </si>
  <si>
    <t>Um estudo sobre aprendizado de máquina multimodal para identificar a depressão em adolescentes brasileiros usando dados coletados via smartphones</t>
  </si>
  <si>
    <t>https://repositorio.ufpel.edu.br/handle/prefix/10841</t>
  </si>
  <si>
    <t>Contemporaneous Health Monitoring and Biomarker Discovery by Integration of Patient Data and Disease Knowledge</t>
  </si>
  <si>
    <t>https://digital.lib.washington.edu/researchworks/bitstream/handle/1773/44834/SamarehAbolhasani_washington_0250E_20602.pdf?sequence=1</t>
  </si>
  <si>
    <t>Machine learning systems for multimodal affect recognition</t>
  </si>
  <si>
    <t>https://link.springer.com/content/pdf/10.1007/978-3-658-28674-3.pdf</t>
  </si>
  <si>
    <t>Artificial intelligence in mental health care: a systematic review of diagnosis, monitoring, and intervention applications</t>
  </si>
  <si>
    <t>https://www.cambridge.org/core/journals/psychological-medicine/article/artificial-intelligence-in-mental-health-care-a-systematic-review-of-diagnosis-monitoring-and-intervention-applications/04DBD2D05976C9B1873B475018695418</t>
  </si>
  <si>
    <t>Automated screening methods for mental and neuro-developmental disorders</t>
  </si>
  <si>
    <t>https://orca.cardiff.ac.uk/id/eprint/122408/</t>
  </si>
  <si>
    <t>Computational Intelligence in Depression Detection</t>
  </si>
  <si>
    <t>https://link.springer.com/chapter/10.1007/978-981-19-5272-2_7</t>
  </si>
  <si>
    <t>Detección de casos de depresión en una población estudiantil aplicando algoritmos de aprendizaje no supervisado</t>
  </si>
  <si>
    <t>https://repositorioinstitucional.buap.mx/items/f34ee321-9bce-400c-a256-c41c786a56df</t>
  </si>
  <si>
    <t>Nouveaux biomarqueurs vocaux pour la détection automatique de la somnolence</t>
  </si>
  <si>
    <t>https://theses.hal.science/tel-03875860/</t>
  </si>
  <si>
    <t>Depression detection from social media posts</t>
  </si>
  <si>
    <t>https://dspace.lib.ntua.gr/xmlui/bitstream/handle/123456789/55587/depression_detection_from_social_media_posts.pdf?sequence=1</t>
  </si>
  <si>
    <t>Textual Mental Illness Detection from Social Media Using Deep Learning</t>
  </si>
  <si>
    <t>https://search.proquest.com/openview/502ebe5d374249da2f33c51a270582c6/1?pq-origsite=gscholar&amp;cbl=2026366&amp;diss=y</t>
  </si>
  <si>
    <t>Seeing the Forest for the Trees: A Large Scale, Continuously Updating Meta-Analysis of Frontier LLMs</t>
  </si>
  <si>
    <t>https://arxiv.org/abs/2502.18791</t>
  </si>
  <si>
    <t>All included studies</t>
  </si>
  <si>
    <t>https://www.scienceopen.com/document_file/d2961091-7704-4ec7-906b-a6036cc39d1e/PubMedCentral/d2961091-7704-4ec7-906b-a6036cc39d1e.pdf</t>
  </si>
  <si>
    <t>Title</t>
  </si>
  <si>
    <t>Link</t>
  </si>
  <si>
    <t>Source</t>
  </si>
  <si>
    <t>Abstract</t>
  </si>
  <si>
    <t>Irrelevant title/abstract</t>
  </si>
  <si>
    <t>Does not regard DAIC-WOZ</t>
  </si>
  <si>
    <t>Discarded</t>
  </si>
  <si>
    <t>Accepted</t>
  </si>
  <si>
    <t>Remaining</t>
  </si>
  <si>
    <t>Article and abstract</t>
  </si>
  <si>
    <t>Screening</t>
  </si>
  <si>
    <t>Pool</t>
  </si>
  <si>
    <t>Full-text</t>
  </si>
  <si>
    <t>?</t>
  </si>
  <si>
    <t>Not in English</t>
  </si>
  <si>
    <t>Does not use MAE</t>
  </si>
  <si>
    <t>Does not introduce new model</t>
  </si>
  <si>
    <t>E-DAIC</t>
  </si>
  <si>
    <t>AVEC2013, AVEC2014</t>
  </si>
  <si>
    <t>avec 2017 depression-sub-challenge</t>
  </si>
  <si>
    <t>avec 2016</t>
  </si>
  <si>
    <t>daic-woz</t>
  </si>
  <si>
    <t>AVEC2017, AVEC2019</t>
  </si>
  <si>
    <t>twitter</t>
  </si>
  <si>
    <t>AVEC14</t>
  </si>
  <si>
    <t>custom</t>
  </si>
  <si>
    <t>AVEC 2013, AVEC 2014, and AVEC 2017</t>
  </si>
  <si>
    <t>AVEC2014 AVEC2019</t>
  </si>
  <si>
    <t>Total</t>
  </si>
  <si>
    <t>AVEC2019</t>
  </si>
  <si>
    <t>AVEC2017</t>
  </si>
  <si>
    <t>social media</t>
  </si>
  <si>
    <t>E-DAIC, AVEC2019</t>
  </si>
  <si>
    <t>NCUDID</t>
  </si>
  <si>
    <t>AVEC</t>
  </si>
  <si>
    <t>RSDD</t>
  </si>
  <si>
    <t>AVEC 2013, AVEC 2014, E-DAIC and custom</t>
  </si>
  <si>
    <t>Dataset (if not DAIC-WOZ)</t>
  </si>
  <si>
    <t>Discarded after full-text review</t>
  </si>
  <si>
    <t>Not retrieved</t>
  </si>
  <si>
    <t>Data preprocessing</t>
  </si>
  <si>
    <t>Data partitioning</t>
  </si>
  <si>
    <t>Partitions disjoint level</t>
  </si>
  <si>
    <t>Model description</t>
  </si>
  <si>
    <t>Training details</t>
  </si>
  <si>
    <t>Final model selection</t>
  </si>
  <si>
    <t>-</t>
  </si>
  <si>
    <t>Data modality</t>
  </si>
  <si>
    <t>Code available</t>
  </si>
  <si>
    <t xml:space="preserve"> </t>
  </si>
  <si>
    <t>Dev. MAE</t>
  </si>
  <si>
    <t>Dev. RMSE</t>
  </si>
  <si>
    <t>Dev. R2</t>
  </si>
  <si>
    <t>Test. MAE</t>
  </si>
  <si>
    <t>Test. R2</t>
  </si>
  <si>
    <t>--</t>
  </si>
  <si>
    <t>MEL Spectrogram</t>
  </si>
  <si>
    <t>DEPAC</t>
  </si>
  <si>
    <t>AVEC13, AVEC14</t>
  </si>
  <si>
    <t>Participant turn</t>
  </si>
  <si>
    <t>Comment</t>
  </si>
  <si>
    <t>Attention transfer BLSTM</t>
  </si>
  <si>
    <t>A</t>
  </si>
  <si>
    <t>T</t>
  </si>
  <si>
    <t>No information about ASR system training. Neither dataset partition utilized nor description of convergence criteria</t>
  </si>
  <si>
    <t>Test. RMSE</t>
  </si>
  <si>
    <t>No</t>
  </si>
  <si>
    <t>Point Transform Network</t>
  </si>
  <si>
    <t>V</t>
  </si>
  <si>
    <t>Repeated experiments</t>
  </si>
  <si>
    <t>+</t>
  </si>
  <si>
    <t>Yes</t>
  </si>
  <si>
    <t>Default</t>
  </si>
  <si>
    <t>Default transcriptions</t>
  </si>
  <si>
    <t>T5 and BERT embeddings fusion</t>
  </si>
  <si>
    <t>DAIC-WOZ is used only as an example and no information regarding training on this dataset is provided</t>
  </si>
  <si>
    <t>No information on model training and selection (hparams, convergence criteria) is provided</t>
  </si>
  <si>
    <t>V-A-T</t>
  </si>
  <si>
    <t>Cascade Random Forest Regression</t>
  </si>
  <si>
    <t>Manual feature assignment</t>
  </si>
  <si>
    <t>N/A</t>
  </si>
  <si>
    <t>Interview</t>
  </si>
  <si>
    <t>Included</t>
  </si>
  <si>
    <t>Quality screening</t>
  </si>
  <si>
    <t>Hierarchical Attention Network</t>
  </si>
  <si>
    <t>Participant inter-partition leakage</t>
  </si>
  <si>
    <t>No information on convergence criteria for HAN pretraining. Randomly sampled QA pairs for knowledge transfer, which implies participant inter-partition leakage</t>
  </si>
  <si>
    <t>Uses pretraining on TSATC. Extracts features from auto-selected text fragments</t>
  </si>
  <si>
    <t>107 interviews for training, 35 for testing</t>
  </si>
  <si>
    <t>107 interviews for training, 33 for development, 46 for testing</t>
  </si>
  <si>
    <t>Topic modeling based multi-modal depression detection</t>
  </si>
  <si>
    <t>https://arxiv.org/pdf/1803.10384</t>
  </si>
  <si>
    <t>References</t>
  </si>
  <si>
    <t>Grid search on train-val split</t>
  </si>
  <si>
    <t>SVM</t>
  </si>
  <si>
    <t xml:space="preserve">Topic-based feature selection </t>
  </si>
  <si>
    <t>Uses interviewer's prompts</t>
  </si>
  <si>
    <t>Interviewer utterance removal, participant utterance concatenation and split into 15s fragments</t>
  </si>
  <si>
    <t>Concatenated participant turns into 15s audio segments</t>
  </si>
  <si>
    <t>Random 80/20 train/test split</t>
  </si>
  <si>
    <t>BiGRU</t>
  </si>
  <si>
    <t>50-times repeated experiment</t>
  </si>
  <si>
    <t>No information for convergence criteria, no information on handcrafted features preparation, ambiguous description of train-val-test split</t>
  </si>
  <si>
    <t>date</t>
  </si>
  <si>
    <t>avg volume required</t>
  </si>
  <si>
    <t>Overlapping sliding window</t>
  </si>
  <si>
    <t>Overlapping sliding window. MEL filterbank</t>
  </si>
  <si>
    <t>FilterBank VIsion Transformer</t>
  </si>
  <si>
    <t>Grid search</t>
  </si>
  <si>
    <t>No information on dataset partitioning. No details on model training and convergence criteria. Reported results are for unknown partition</t>
  </si>
  <si>
    <t>Tensor Fusion Network (MLP)</t>
  </si>
  <si>
    <t>Missing information regarding training details (e.g. dropout). Paper describes several hyperparameters combinations but does not disclose final model selection criteria. Vague data preprocessing description. No information on data partitioning and disjoint level</t>
  </si>
  <si>
    <t>No information on dataset partition used for training and disjoint level. Missing details regarding training (e.g. number of training epochs, convergence criteria)</t>
  </si>
  <si>
    <t>1D CNN followed by Transformer Encoder</t>
  </si>
  <si>
    <t>QA extraction, cleanup, eGeMAPS features</t>
  </si>
  <si>
    <t>Graph Attention Network</t>
  </si>
  <si>
    <t>Manual cleaning. QA pairs extraction, MFCCs, eGeMAPS</t>
  </si>
  <si>
    <t>A-T</t>
  </si>
  <si>
    <t>Lack of information regarding training partition and partitoin used for final model selection in grid search</t>
  </si>
  <si>
    <t>Transformer based fusion</t>
  </si>
  <si>
    <t>Audio chunk</t>
  </si>
  <si>
    <t>No information regarding data partitioning. Reported results regard unknown partition. No information regarding best model selection criteria (convergence criteria not applicable - constant number of epochs)</t>
  </si>
  <si>
    <t>Selection of 10 longest subject's turns</t>
  </si>
  <si>
    <t>PV-SVM &amp; CNN late fusion</t>
  </si>
  <si>
    <t>Lack of information regarding pretrainig of PV-SVM process (neither link to the dataset, nor pretraining approach)</t>
  </si>
  <si>
    <t>Highest micro-averaged F1-score on the development set</t>
  </si>
  <si>
    <t>200 epochs using AdamW optimizer with the learning rate of 3e−5 and a linear warm-up scheduler</t>
  </si>
  <si>
    <t>BiLSTM over S-RoBERTa features</t>
  </si>
  <si>
    <t>Interview is processed as a whole turn-wise</t>
  </si>
  <si>
    <t>5,51±0,06</t>
  </si>
  <si>
    <t>Very good paper. Props for using maMAE. R2 would be also useful. Symptom prediction MAE of 3.78 clearly states that there's no practical applicability (symptoms are assessed on 0-3 scale)</t>
  </si>
  <si>
    <t>5,03±0,09</t>
  </si>
  <si>
    <t>Random 80/10/10 train/val/test split</t>
  </si>
  <si>
    <t>GCN</t>
  </si>
  <si>
    <t>10 milliseconds</t>
  </si>
  <si>
    <t>COVAREP</t>
  </si>
  <si>
    <t>Lack of training-related details (number of epochs, batch size, etc.) and convergence criteria</t>
  </si>
  <si>
    <t>708 milliseconds</t>
  </si>
  <si>
    <t>No-voice fragments removal, splitting, MFCCs</t>
  </si>
  <si>
    <t>CNN-GAN</t>
  </si>
  <si>
    <t>Lack of training process description. Lack of clear disclosure of the data partitioning. Inconsistencies in reported MAE values in tables with ones in the text</t>
  </si>
  <si>
    <t>V-A</t>
  </si>
  <si>
    <t>Zero-shot GPT-4</t>
  </si>
  <si>
    <t>Gender-dependent Decision Tree</t>
  </si>
  <si>
    <t>No information regarding pratitions disjoint level. No clear description of the model architecture used. Manually extracted features</t>
  </si>
  <si>
    <t>Removal of interviewer turns, COVAREP, MFCCs</t>
  </si>
  <si>
    <t>GMM, Fisher Vectors</t>
  </si>
  <si>
    <t>Tthe smallest RMSE on the Development set</t>
  </si>
  <si>
    <t>Very chaotic. No explicit information on data partitioning. We are assuming default partitioning, since the paper is published in AVEC proceedings</t>
  </si>
  <si>
    <t>Very chaotic. Though for audio preprocessing the interviewer turns are removed from the recordig, text modality based classification strongly relies on interviewer prompts. Very chaotic desctiption of models used per modality and their ensemble</t>
  </si>
  <si>
    <t>CNN</t>
  </si>
  <si>
    <t>No information regarding data preprocessing. Unknowd disjoint level - no description of how utterance groups are obtained</t>
  </si>
  <si>
    <t>No details disclosed for any aspect</t>
  </si>
  <si>
    <t>Network which performs the best on the validation set</t>
  </si>
  <si>
    <t>LSTM</t>
  </si>
  <si>
    <t>Removal of interviewer turns</t>
  </si>
  <si>
    <t>No information regarding number of epochs and convergence criteria, hyperparameters tuned. We also assumed that reported results regard validation (dev) set, however it is not disclosed anywhere in the paper</t>
  </si>
  <si>
    <t>Concatenating interview transcript into single text</t>
  </si>
  <si>
    <t>No information regarding data partitioning. No information regarding threshold value used to determine the number of "layers" in the model. The framework description suggests that the number of layers is determined with the usage of a target metric, which practically means use of dependent variable for prediction. Not all prompts are disclosed</t>
  </si>
  <si>
    <t>BiLSTM with attention</t>
  </si>
  <si>
    <t>Vague description of data preprocessing (oversampling, irrelevant data filtering, mel spectrogram calculation). It’s not clear at which level partitions are disjoint</t>
  </si>
  <si>
    <t>Training set 107 patients and a development set 35 patients</t>
  </si>
  <si>
    <t>Interview-level graph from transcript words</t>
  </si>
  <si>
    <t>Early stopping on val loss with patience 9</t>
  </si>
  <si>
    <t>GNN</t>
  </si>
  <si>
    <t>Well documented model description and training process. Ablation study is a plus. R2 metric would be nice</t>
  </si>
  <si>
    <t>Grid search. Early stopping on val (from crossfal) loss with patience 9. Best model based on crossval result</t>
  </si>
  <si>
    <t>No information regarding including interviewer's turns in transcripts. Authors run multiple cross validations with gridsearch on different parameters, however final metrics which are reported are for a single crossval fold which artificially heightens results (reported averages are way worse and in the table we include their reported averages for the hparams combination which according to the authors produced best model - fastText with mean pooling)</t>
  </si>
  <si>
    <t>Conv-BiLSTM + Attn fusion</t>
  </si>
  <si>
    <t>Data partitioning is not disclosed. Training details are not disclosed. Reported results regard unknown partition, therefore are not included in our table</t>
  </si>
  <si>
    <t>105 interviews for train-val set and 33 for test</t>
  </si>
  <si>
    <t>Grid search. Best crossval performance on val set. Finite number of epochs</t>
  </si>
  <si>
    <t>Replacing contractions with corresponding full words</t>
  </si>
  <si>
    <t>Hyperparameters which achieved best performance (including number of epochs) are not disclosed. We assume that reported values regard test set, however this is not explicitly stated in the paper</t>
  </si>
  <si>
    <t>148 interviews for training and 41 for testing</t>
  </si>
  <si>
    <t>No information regarding data preprocessing. It’s unclear how 767 BERT embeddings were extracted from transcripts and why they were identified as essential. Partitions disjoint level, number of epochs, optimizer and convergence criteria are not disclosed. Number of epochs and optimizer which does not match the diagram</t>
  </si>
  <si>
    <t>1D CNN, BiLSTM</t>
  </si>
  <si>
    <t>MEL Spectrogram, BERT, ELMo</t>
  </si>
  <si>
    <t>Number of epochs for multimodal model training is not disclosed. Unclear partitions disjoint level</t>
  </si>
  <si>
    <t>1D CNN, Cross-modal attention</t>
  </si>
  <si>
    <t>High level concept of the work (Dec 2022) is similar to "Multi-modal depression estimation based on sub-attentional fusion" https://link.springer.com/chapter/10.1007/978-3-031-25075-0_42 (Oct 2022), however they differ in details. Feature extraction for audio and video modalities is weakly described. Reported results regard unknown partition. Partitions disjoint level is not clearly disclosed. Training details are not disclosed</t>
  </si>
  <si>
    <t xml:space="preserve">QA pairs for text modality, participant-only for audio (openSMILE) </t>
  </si>
  <si>
    <t>Tree-based feature selection algorithm is not described. Lambda layer is not described. Parametrization of the model is not disclosed. Text embedding finetuning on conversational data is not disclosed. Lack of training details regarding audio, visual an multi- modal models. Hyperparameters tuned are not disclosed. Final model selection criteria are not disclosed</t>
  </si>
  <si>
    <t xml:space="preserve"> 107 interviews for crossval and 35 interviews for test</t>
  </si>
  <si>
    <t>Statistical descriptors, spectrum maps calculation</t>
  </si>
  <si>
    <t>Lack of training-related details (learning rate, dropout, number of epochs). Lack of convergence criteria. Lack of convergence criteria</t>
  </si>
  <si>
    <t>Feature selection based on Pearson Correlation (PC)</t>
  </si>
  <si>
    <t>Data partitioning is not disclosed. Data partitioning is not disclosed. Details regarding model are not disclosed (e.g. number of layers). Training process is poorly described. Lack of convergence criteria, best model selection criteria</t>
  </si>
  <si>
    <t>FaceHOG, Pearson Correlation for features selection</t>
  </si>
  <si>
    <t>Authors point out that "Due to the high dimensionality of the extracted features from videos, the complexity of the decision models built for depression detection is high. Also, it provides an overfitted learning model."</t>
  </si>
  <si>
    <t>BERT</t>
  </si>
  <si>
    <t xml:space="preserve"> 200 epochs or until the MSE ceased to decrease on the evaluation dataset</t>
  </si>
  <si>
    <t>Prompt-based synopsis and sentiment analysis generation (same for augmentation)</t>
  </si>
  <si>
    <t>LLM used for synopsis and sentiment analysis generation may posess ability to infer insights on depressive states from transcripts, which may be further captured by BERT</t>
  </si>
  <si>
    <t>Word</t>
  </si>
  <si>
    <t>Forced alignment for words timings. Glove, COVAREP, OpenFACE</t>
  </si>
  <si>
    <t>Grid search on validation data</t>
  </si>
  <si>
    <t>Number of model layers is not disclosed. Lack of training-related details (e.g. number of epochs. Optimization of layers number N is unclear: „best value N is determined from optimizing on heldout data” since „heldout data” refers to an unknown data partition.</t>
  </si>
  <si>
    <t>Spectra calculation</t>
  </si>
  <si>
    <t>Hyperparameter tuning on validation set and selecting best performing architecture on the test set</t>
  </si>
  <si>
    <t>Data partitioning is not disclosed. Hyperparameters of the model are not disclosed. Lack of training-related details (number of epochs, learning rate)</t>
  </si>
  <si>
    <t>Removal of interviewer utterances. For the validation only longest participant utterance from interview is used</t>
  </si>
  <si>
    <t>"If the loss no longer decreases in two hundred consecutive iterations, the training process is stopped."</t>
  </si>
  <si>
    <t>DCGAN, CNN</t>
  </si>
  <si>
    <t>Optimization method for DCGAN training is not disclosed</t>
  </si>
  <si>
    <t>Manual cleaning and clustering of interviewer's turns. COVAREP, OpenFACE, LIWC</t>
  </si>
  <si>
    <t>SGD</t>
  </si>
  <si>
    <t>10-fold stratified cross-validation on training set</t>
  </si>
  <si>
    <t xml:space="preserve">SGD training details is not disclosed. Best model selection criteria are not disclosed. Approach strongly relies on manual data preprocessing and interviewer prompts. Topics extraction is performed on unknown data partition (it's not excluded that topic extraction was performed on entire DAIC-WOZ corpus). </t>
  </si>
  <si>
    <t>AVEC2014</t>
  </si>
  <si>
    <t>PSO, BiLSTM</t>
  </si>
  <si>
    <t>MFCC features extraction is weakly described (no information regarding audio preprocessing, lack of windowing description). From data preprocessing it’s unclear whether interviewer’s turns are used for the model training. Partitions disjoint level is not disclosed. Training details are not disclosed (optimizer, learning rate, number of epochs). Convergence criteria are not disclosed.</t>
  </si>
  <si>
    <t>107 interviews for training and 35 for validation</t>
  </si>
  <si>
    <t>Lack of description of validation set preprocessing. Training partition was disjoint into 382 seconds fragments, however validation partition disjoint level is not disclosed. Model hyperparameters are not disclosed (number of layers, dimensionality of each layer, convolutional kernels etc.). Training details are not disclosed (optimizer, learning rate, number of epochs). Training details are not disclosed (optimizer, learning rate, number of epochs)</t>
  </si>
  <si>
    <t>0.76</t>
  </si>
  <si>
    <t xml:space="preserve">Data preprocessing description is poor and chaotic: „To minimize noise in text data, commonly used words such as "and," "the," and "is" that lack significant meaning are usually eliminated”. For some reason correlation analysis is performed within AVEC 2019 dataset. Partitions disjoint level is not disclosed. Inconsistencies in model description. Autors state extraction of „767 embeddings”, supposedly meaning „767 dimensional embeddings”, hovewer BERT model produces 768-dimensional vectors. Number of LSTM layers is not disclosed. Autoencoder dimensionality is not disclosed. Training description lacks details (optimizer, early stopping setting). </t>
  </si>
  <si>
    <t>Removal of interviewer turns, COVAREP, MFCCs, PCA dimensionality reduction, OpenFACE</t>
  </si>
  <si>
    <t>BERT-BiLSTM, SVM, XGBoost</t>
  </si>
  <si>
    <t xml:space="preserve">Training details are not disclosed. Convergence criteria for text modality are not disclosed. </t>
  </si>
  <si>
    <t>CVAE</t>
  </si>
  <si>
    <t>Data preprocessing is not disclosed. Learning rate decay is not described. Cross-validation is performed on an unknown partition. The description of best model selection is vague: „As shown in Table V, we give the hyperparameters used in our experiments and tune the hyperparameters via grid search in the validation set, at meantime we train all the learning models using 5-cross validation.„ It’s unclear on which subset the cross-validation is performed. Reported results regard unknown partiion</t>
  </si>
  <si>
    <t>Not extracted</t>
  </si>
  <si>
    <t xml:space="preserve">It’s unclear how 512 ResNet18 features were extracted from various timeseries spatial data. Lack of training-related details (number of epochs, optimizer). Convergence criteria are not disclosed. Architecture is over-complicated and taking into consideration issues with data preprocessing and training details we do not delve into analyzing the proposed architecture. </t>
  </si>
  <si>
    <t>Default DAIC-WOZ split is:</t>
  </si>
  <si>
    <t>107 (57%) interviews are in the training set, 35 (19%) are in the validation set, and 47 (25%) are in the test set</t>
  </si>
  <si>
    <t>3s clip</t>
  </si>
  <si>
    <t>Cutting audio files in 3s clips, MFCCs</t>
  </si>
  <si>
    <t>VQ-Wav2Vec Transformer, CNN, Hierarchical CPC</t>
  </si>
  <si>
    <t>Exhaustive description of the data preprocessing. Equation 1 presents operations performed on input in a wrong order. Ablation study and hyperparameters tuning is performed on unknown data partition, best model selection criteria are not disclosed.</t>
  </si>
  <si>
    <t>MLP</t>
  </si>
  <si>
    <t>Described data preprocessing is not applicable to DAIC-WOZ dataset. Number of training epochs is not disclosed. Number of training epochs is not disclosed.</t>
  </si>
  <si>
    <t>80% of data (189 interviews) is used for training, and the remaining 20% of data is used for testing</t>
  </si>
  <si>
    <t>Data preprocessing is not disclosed. Partitions disjoint level is not disclosed. It’s unclear how a ResNet is applied to video modality, which in DAIC-WOZ does not consist of raw video but extracted features. Some of the hyperparameters are optimized using grid search: „The selection of gamma and cost from the KELM model parameter is made by adopting a grid search technique [...]”, however the best model selection criteria are not disclosed. Inconsistencies between table 12 and fig 10. Reported metrics in two places differ by one order of magnitude. Therefore, we do not include these results in our table.</t>
  </si>
  <si>
    <t>1D CNN + attention</t>
  </si>
  <si>
    <t>No preprocessing</t>
  </si>
  <si>
    <t>GAT</t>
  </si>
  <si>
    <t>Data preprocessing for each modality is not described. Graph construction process from data is unclear. Data partitioning is not disclosed. Partitions disjoint level does not result from graph construction process. Authors probably confuse lambda (learning rate) with Adam beta1 and beta2 parameters. Training is performed on an unknown partition. Reported results regard unknown partition</t>
  </si>
  <si>
    <t>Log-MEL spectrograms of patients speech</t>
  </si>
  <si>
    <t>107 for train-val (val is 10%), 35 for testing</t>
  </si>
  <si>
    <t>Architecture is overcomplicated and considering issues in training description and final model selection we do not extract the model description. It is unclear whether authors use gradient checkpointing with parameters update once every 25 epochs or they mean something else: „We perform updates every 25 epochs, with a batch size of 8 [...]”. Hyperparameter tuning is mentioned, hovewer best model selection criteria are not provided. Reported results regard unknown partition, however we might assume that it is was test set</t>
  </si>
  <si>
    <t>1D CNN</t>
  </si>
  <si>
    <t>Described data preprocessing is not applicable to DAIC-WOZ dataset. It is also unclear whether audio features include interviewer utterances. Description of dictionaries composition from BERT is vague. Described data preprocessing is not applicable to DAIC-WOZ dataset. It is also unclear whether audio features include interviewer utterances. Description of dictionaries composition from BERT is vague. Hyperparameter tuning was performed, however best model selection criteria are not disclosed: „To determine the value of N in Fig. 1, we conduct multiple experiments.”</t>
  </si>
  <si>
    <t>QA pairs for text modality, participant-only for audio COVAREP</t>
  </si>
  <si>
    <t>Exact architecture with number of BiLSTM layers is not disclosed (hyperparams was tuned, but the best combination is not reported). Hyperparameter tuning was performed, however best model selection criteria are not disclosed. Convergence criteria are vague: „[...] an early-stopping criterion of 0.001 threshold over a maximum epoch of 100 [...]”</t>
  </si>
  <si>
    <t>Described video preprocessing is not applicable to DAIC-WOZ dataset, since the features are already extracted from video. BoW extraction from transcripts is vague. Exact dimensionalities and number of layers is not disclosed. Convergence and best model selection criteria are not disclosed. Training-related details are not disclosed (optimizer, learning rate, number of epochs etc). Convergence and best model selection criteria are not disclosed.</t>
  </si>
  <si>
    <t>Interviewer utterance removal, participant utterance concatenation</t>
  </si>
  <si>
    <t>Prompts are not disclosed</t>
  </si>
  <si>
    <t>Grid search on train-val split is mentioned, however target metric used for best hyperparameter combination selection is not disclosed. Topics extraction from Interviewer' responses was performed on entire DAIC corpus and not exclusively on training set. Strongly relies on Interviewer's responses</t>
  </si>
  <si>
    <t>Detailed model specifications (e.g. number of trees in random forest) are not disclosed. Manually prepared features from text per interview may imply bias. Looks a bit similar to https://doi.org/10.1145/3133944.3133951 which was published year before.</t>
  </si>
  <si>
    <t>Linear 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</si>
</sst>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5]d\ mmm;@"/>
  </numFmts>
  <fonts count="8" x14ac:knownFonts="1">
    <font>
      <sz val="11"/>
      <color theme="1"/>
      <name val="Calibri"/>
      <family val="2"/>
      <scheme val="minor"/>
    </font>
    <font>
      <sz val="11"/>
      <color theme="1"/>
      <name val="Calibri"/>
      <family val="2"/>
      <charset val="238"/>
      <scheme val="minor"/>
    </font>
    <font>
      <u/>
      <sz val="11"/>
      <color theme="10"/>
      <name val="Calibri"/>
      <family val="2"/>
      <scheme val="minor"/>
    </font>
    <font>
      <b/>
      <sz val="11"/>
      <color theme="0"/>
      <name val="Calibri"/>
      <family val="2"/>
    </font>
    <font>
      <sz val="11"/>
      <color theme="0"/>
      <name val="Calibri"/>
      <family val="2"/>
      <scheme val="minor"/>
    </font>
    <font>
      <sz val="8"/>
      <name val="Calibri"/>
      <family val="2"/>
      <scheme val="minor"/>
    </font>
    <font>
      <sz val="9"/>
      <color theme="1"/>
      <name val="Segoe UI"/>
      <family val="2"/>
      <charset val="238"/>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0" fontId="2" fillId="0" borderId="0" applyNumberFormat="0" applyFill="0" applyBorder="0" applyAlignment="0" applyProtection="0"/>
    <xf numFmtId="9" fontId="7" fillId="0" borderId="0" applyFont="0" applyFill="0" applyBorder="0" applyAlignment="0" applyProtection="0"/>
  </cellStyleXfs>
  <cellXfs count="18">
    <xf numFmtId="0" fontId="0" fillId="0" borderId="0" xfId="0"/>
    <xf numFmtId="0" fontId="0" fillId="0" borderId="0" xfId="0" applyAlignment="1">
      <alignment wrapText="1"/>
    </xf>
    <xf numFmtId="0" fontId="3" fillId="0" borderId="1" xfId="0" applyFont="1" applyBorder="1" applyAlignment="1">
      <alignment horizontal="center" vertical="top" wrapText="1"/>
    </xf>
    <xf numFmtId="0" fontId="3" fillId="0" borderId="1" xfId="0" applyFont="1" applyBorder="1" applyAlignment="1">
      <alignment horizontal="center" vertical="top"/>
    </xf>
    <xf numFmtId="0" fontId="4" fillId="0" borderId="0" xfId="0" applyFont="1"/>
    <xf numFmtId="0" fontId="3" fillId="0" borderId="2" xfId="0" applyFont="1" applyBorder="1" applyAlignment="1">
      <alignment horizontal="center" vertical="top" wrapText="1"/>
    </xf>
    <xf numFmtId="0" fontId="3" fillId="0" borderId="0" xfId="0" applyFont="1" applyAlignment="1">
      <alignment horizontal="center" vertical="top" wrapText="1"/>
    </xf>
    <xf numFmtId="0" fontId="2" fillId="0" borderId="0" xfId="1" applyAlignment="1"/>
    <xf numFmtId="0" fontId="2" fillId="0" borderId="0" xfId="0" applyFont="1"/>
    <xf numFmtId="0" fontId="3" fillId="0" borderId="0" xfId="0" quotePrefix="1" applyFont="1" applyAlignment="1">
      <alignment horizontal="center" vertical="top" wrapText="1"/>
    </xf>
    <xf numFmtId="0" fontId="3" fillId="0" borderId="0" xfId="0" applyFont="1" applyAlignment="1">
      <alignment horizontal="center" vertical="top"/>
    </xf>
    <xf numFmtId="164" fontId="0" fillId="0" borderId="0" xfId="0" applyNumberFormat="1"/>
    <xf numFmtId="0" fontId="6" fillId="0" borderId="0" xfId="0" applyFont="1" applyAlignment="1">
      <alignment vertical="center"/>
    </xf>
    <xf numFmtId="9" fontId="0" fillId="0" borderId="0" xfId="2" applyFont="1"/>
    <xf numFmtId="0" fontId="0" fillId="0" borderId="0" xfId="0" applyAlignment="1">
      <alignment horizontal="right" wrapText="1"/>
    </xf>
    <xf numFmtId="0" fontId="1" fillId="0" borderId="0" xfId="0" applyFont="1"/>
    <xf numFmtId="0" fontId="0" fillId="0" borderId="1" xfId="0" applyBorder="1"/>
    <xf numFmtId="0" fontId="0" fillId="0" borderId="1" xfId="0" applyBorder="1" applyAlignment="1">
      <alignment horizontal="right"/>
    </xf>
  </cellXfs>
  <cellStyles count="3">
    <cellStyle name="Hyperlink" xfId="1" builtinId="8"/>
    <cellStyle name="Normal" xfId="0" builtinId="0"/>
    <cellStyle name="Percent" xfId="2" builtinId="5"/>
  </cellStyles>
  <dxfs count="6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ertAlign val="baseline"/>
        <sz val="11"/>
        <color theme="10"/>
        <name val="Calibri"/>
        <family val="2"/>
        <scheme val="minor"/>
      </font>
    </dxf>
    <dxf>
      <alignment horizontal="general" vertical="bottom" textRotation="0" wrapText="1" indent="0" justifyLastLine="0" shrinkToFit="0" readingOrder="0"/>
    </dxf>
    <dxf>
      <fill>
        <patternFill>
          <bgColor rgb="FF92D050"/>
        </patternFill>
      </fill>
    </dxf>
    <dxf>
      <alignment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0" indent="0" justifyLastLine="0" shrinkToFit="0" readingOrder="0"/>
    </dxf>
    <dxf>
      <alignment horizontal="general" vertical="bottom" textRotation="0" wrapText="1" indent="0" justifyLastLine="0" shrinkToFit="0" readingOrder="0"/>
    </dxf>
    <dxf>
      <font>
        <strike val="0"/>
        <outline val="0"/>
        <shadow val="0"/>
        <u val="none"/>
        <vertAlign val="baseline"/>
        <sz val="11"/>
        <color theme="0"/>
        <name val="Calibri"/>
        <family val="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Ivan Danylenko" id="{38AD1B54-1DAE-4F2A-AEAB-EA488571B049}" userId="S::Ivan.Danylenko@pl.ey.com::43daa83a-9712-401b-ab35-d6fcc110ce3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BFFEB7-729F-4641-A088-1E5DFC6B7298}" name="Table1" displayName="Table1" ref="A1:AG347" totalsRowCount="1" headerRowDxfId="61">
  <autoFilter ref="A1:AG346" xr:uid="{F7BFFEB7-729F-4641-A088-1E5DFC6B7298}">
    <filterColumn colId="4">
      <filters>
        <filter val="FALSE"/>
      </filters>
    </filterColumn>
    <filterColumn colId="11">
      <filters>
        <filter val="FALSE"/>
      </filters>
    </filterColumn>
    <filterColumn colId="31">
      <filters>
        <filter val="TRUE"/>
      </filters>
    </filterColumn>
  </autoFilter>
  <tableColumns count="33">
    <tableColumn id="1" xr3:uid="{B84F0D83-367A-4CFC-A091-849EC41B243F}" name="Title" totalsRowLabel="Total" dataDxfId="60" totalsRowDxfId="27"/>
    <tableColumn id="2" xr3:uid="{321C2EBC-184B-4C7D-86E7-EE7CE0D7D22D}" name="Link" dataDxfId="59" totalsRowDxfId="26" dataCellStyle="Hyperlink"/>
    <tableColumn id="3" xr3:uid="{89E76D8E-0AC6-4380-9B83-288D62A32EE3}" name="Source"/>
    <tableColumn id="4" xr3:uid="{C3953CF4-45F4-4516-B6AA-3E24D21CD2C9}" name="Abstract" dataDxfId="58"/>
    <tableColumn id="5" xr3:uid="{57C879E1-2AAF-45A6-B541-AD9C3CB63CF4}" name="Irrelevant title/abstract" totalsRowFunction="custom" dataDxfId="57" totalsRowDxfId="25">
      <totalsRowFormula>COUNTIF(Table1[Irrelevant title/abstract], TRUE)</totalsRowFormula>
    </tableColumn>
    <tableColumn id="11" xr3:uid="{92794D16-2343-430F-996F-A966D88746AF}" name="Dataset (if not DAIC-WOZ)" dataDxfId="56" totalsRowDxfId="24"/>
    <tableColumn id="7" xr3:uid="{18C4CBF1-DD43-4C68-8620-3FDC5A28E225}" name="Does not regard DAIC-WOZ" totalsRowFunction="custom" dataDxfId="55" totalsRowDxfId="23">
      <totalsRowFormula>COUNTIF(Table1[Does not regard DAIC-WOZ], TRUE)</totalsRowFormula>
    </tableColumn>
    <tableColumn id="10" xr3:uid="{D311C890-2649-4238-A796-114B9843BB03}" name="Does not use MAE" totalsRowFunction="custom" dataDxfId="54" totalsRowDxfId="22">
      <totalsRowFormula>COUNTIF(Table1[Does not use MAE], TRUE)</totalsRowFormula>
    </tableColumn>
    <tableColumn id="9" xr3:uid="{FE9A237E-0C0C-49BA-8B8C-9CE0D65FECC4}" name="Does not introduce new model" totalsRowFunction="custom" dataDxfId="53" totalsRowDxfId="21">
      <totalsRowFormula>COUNTIF(Table1[Does not introduce new model], TRUE)</totalsRowFormula>
    </tableColumn>
    <tableColumn id="6" xr3:uid="{39AB773F-57BF-42F6-8042-B99D0C0B874D}" name="Not in English" totalsRowFunction="custom" dataDxfId="52" totalsRowDxfId="20">
      <totalsRowFormula>COUNTIF(Table1[Not in English], TRUE)</totalsRowFormula>
    </tableColumn>
    <tableColumn id="8" xr3:uid="{08B22145-7E00-47C4-949C-6212BED733C9}" name="Not retrieved" totalsRowFunction="custom" dataDxfId="51" totalsRowDxfId="19">
      <totalsRowFormula>COUNTIF(Table1[Not retrieved], TRUE)</totalsRowFormula>
    </tableColumn>
    <tableColumn id="12" xr3:uid="{61F26038-FE26-4682-AE13-40D5DCC31965}" name="Discarded after full-text review" dataDxfId="50" totalsRowDxfId="18">
      <calculatedColumnFormula>IF(OR(Table1[[#This Row],[Does not regard DAIC-WOZ]]=TRUE,Table1[[#This Row],[Does not use MAE]]=TRUE,Table1[[#This Row],[Does not introduce new model]]=TRUE,Table1[[#This Row],[Not in English]]=TRUE,Table1[[#This Row],[Not retrieved]]=TRUE),TRUE,FALSE)</calculatedColumnFormula>
    </tableColumn>
    <tableColumn id="21" xr3:uid="{CD629356-F203-4CD1-8C7D-29A17D970C26}" name="Data preprocessing" dataDxfId="49"/>
    <tableColumn id="20" xr3:uid="{894681E3-7E9D-4747-A228-B0335307982D}" name="Data partitioning" totalsRowFunction="custom" dataDxfId="48" totalsRowDxfId="17">
      <totalsRowFormula>COUNTIF(Table1[Data partitioning], "-")</totalsRowFormula>
    </tableColumn>
    <tableColumn id="19" xr3:uid="{A332A605-56EF-4835-B8B4-2CA489A7AFB8}" name="Partitions disjoint level" totalsRowFunction="custom" dataDxfId="47" totalsRowDxfId="16">
      <totalsRowFormula>COUNTIF(Table1[Partitions disjoint level], "-")</totalsRowFormula>
    </tableColumn>
    <tableColumn id="18" xr3:uid="{4C08AE79-ADCF-4117-9235-953496B61CFE}" name="Model description" totalsRowFunction="custom" dataDxfId="46" totalsRowDxfId="15">
      <totalsRowFormula>COUNTIF(Table1[Model description], "-")</totalsRowFormula>
    </tableColumn>
    <tableColumn id="17" xr3:uid="{22D43059-EF48-46E7-861D-AA1D5830CC3E}" name="Training details" totalsRowFunction="custom" dataDxfId="45" totalsRowDxfId="14">
      <totalsRowFormula>COUNTIF(Table1[Training details], "-")</totalsRowFormula>
    </tableColumn>
    <tableColumn id="24" xr3:uid="{C010C063-17C6-4601-97B0-F473A7E0ED8A}" name="Final model selection" totalsRowFunction="custom" dataDxfId="44" totalsRowDxfId="13">
      <totalsRowFormula>COUNTIF(Table1[Final model selection], "-")</totalsRowFormula>
    </tableColumn>
    <tableColumn id="23" xr3:uid="{96D29E9D-B738-42A9-A484-CE824E12EA08}" name="-" totalsRowFunction="custom" dataDxfId="43" totalsRowDxfId="12">
      <totalsRowFormula>COUNTIF(Table1[-], "-")</totalsRowFormula>
    </tableColumn>
    <tableColumn id="22" xr3:uid="{425D64B1-F9DF-418E-9949-88C362E160FE}" name="Data modality" totalsRowFunction="custom" dataDxfId="42" totalsRowDxfId="11">
      <totalsRowFormula>COUNTIF(Table1[Data modality], "-")</totalsRowFormula>
    </tableColumn>
    <tableColumn id="27" xr3:uid="{421CDF98-9E39-4D4D-A87D-06967A41F943}" name="Dev. MAE" totalsRowFunction="custom" dataDxfId="41" totalsRowDxfId="10">
      <totalsRowFormula>COUNTIF(Table1[Dev. MAE], "-")</totalsRowFormula>
    </tableColumn>
    <tableColumn id="26" xr3:uid="{AD5504E0-79F1-476C-884B-9E2DD01B3D27}" name="Dev. RMSE" totalsRowFunction="custom" dataDxfId="40" totalsRowDxfId="9">
      <totalsRowFormula>COUNTIF(Table1[Dev. RMSE], "-")</totalsRowFormula>
    </tableColumn>
    <tableColumn id="25" xr3:uid="{E9091248-191F-4342-BC88-3D354CD35730}" name="Dev. R2" totalsRowFunction="custom" dataDxfId="39" totalsRowDxfId="8">
      <totalsRowFormula>COUNTIF(Table1[Dev. R2], "-")</totalsRowFormula>
    </tableColumn>
    <tableColumn id="32" xr3:uid="{C2E5B58C-2B3F-4560-A0FF-7E404413FF45}" name="Test. MAE" totalsRowFunction="custom" dataDxfId="38" totalsRowDxfId="7">
      <totalsRowFormula>COUNTIF(Table1[Test. MAE], "-")</totalsRowFormula>
    </tableColumn>
    <tableColumn id="31" xr3:uid="{66067C71-5FC8-4084-8B28-4D2DA9F9A592}" name="Test. RMSE" totalsRowFunction="custom" dataDxfId="37" totalsRowDxfId="6">
      <totalsRowFormula>COUNTIF(Table1[Test. RMSE], "-")</totalsRowFormula>
    </tableColumn>
    <tableColumn id="30" xr3:uid="{8763841C-FBD1-493C-BFDB-6619AB317FAD}" name="Test. R2" totalsRowFunction="custom" dataDxfId="36" totalsRowDxfId="5">
      <totalsRowFormula>COUNTIF(Table1[Test. R2], "-")</totalsRowFormula>
    </tableColumn>
    <tableColumn id="29" xr3:uid="{56C4D923-F9EA-428A-B3D5-15BE84E07E95}" name="Code available" totalsRowFunction="custom" dataDxfId="35" totalsRowDxfId="4">
      <totalsRowFormula>COUNTIF(Table1[Code available], "-")</totalsRowFormula>
    </tableColumn>
    <tableColumn id="33" xr3:uid="{5506C6B9-54B0-4FB5-99BC-099286F6DC05}" name="Repeated experiments" totalsRowFunction="custom" dataDxfId="34" totalsRowDxfId="3">
      <totalsRowFormula>COUNTIF(Table1[Repeated experiments], "-")</totalsRowFormula>
    </tableColumn>
    <tableColumn id="34" xr3:uid="{26A2744A-49E9-4009-A65C-2D65379339C8}" name="Uses interviewer's prompts" totalsRowFunction="custom" dataDxfId="33" totalsRowDxfId="2">
      <totalsRowFormula>COUNTIF(Table1[Uses interviewer''s prompts], "-")</totalsRowFormula>
    </tableColumn>
    <tableColumn id="36" xr3:uid="{FFC92FCE-D380-4A60-8134-62F806EE9958}" name="Participant inter-partition leakage" totalsRowFunction="custom" dataDxfId="32" totalsRowDxfId="1">
      <totalsRowFormula>COUNTIF(Table1[Participant inter-partition leakage], "-")</totalsRowFormula>
    </tableColumn>
    <tableColumn id="28" xr3:uid="{335EF865-D157-4F55-B6B9-E0443694784E}" name="--" dataDxfId="31"/>
    <tableColumn id="35" xr3:uid="{6B57A7B3-A989-4490-B3D9-072E4DB68254}" name="Included" totalsRowFunction="custom" dataDxfId="30">
      <calculatedColumnFormula>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calculatedColumnFormula>
      <totalsRowFormula>COUNTIF(AF2:AF339, TRUE)</totalsRowFormula>
    </tableColumn>
    <tableColumn id="16" xr3:uid="{B69A742A-43C4-4B9D-8A4B-F8CE46B8F958}" name="Comment" dataDxfId="29" totalsRow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6" dT="2025-09-09T17:32:26.31" personId="{38AD1B54-1DAE-4F2A-AEAB-EA488571B049}" id="{A23B929B-1F88-420C-A8C6-6233EE7C8E8F}">
    <text>Detailed model specifications (e.g. number of trees in random forest) are not disclosed.</text>
  </threadedComment>
  <threadedComment ref="R11" dT="2025-09-09T17:13:13.75" personId="{38AD1B54-1DAE-4F2A-AEAB-EA488571B049}" id="{6EEC5CFA-B222-4CA3-925C-04E536C2B580}">
    <text>Grid search on train-val split is mentioned, however target metric used for best hyperparameter combination selection is not disclosed.</text>
  </threadedComment>
  <threadedComment ref="V14" dT="2025-04-02T19:27:49.46" personId="{38AD1B54-1DAE-4F2A-AEAB-EA488571B049}" id="{373F542D-AF71-4660-BEC6-02DF05EBA826}">
    <text>There was only train/test split so we treat these „test” results as dev, since „test” split is not held-out</text>
  </threadedComment>
  <threadedComment ref="M19" dT="2025-04-12T10:37:07.37" personId="{38AD1B54-1DAE-4F2A-AEAB-EA488571B049}" id="{FFFA284C-776A-4C26-BD00-4AB344B57E16}">
    <text>MFCC features extraction is weakly described (no information regarding audio preprocessing, lack of windowing description)</text>
  </threadedComment>
  <threadedComment ref="O19" dT="2025-04-12T10:39:27.07" personId="{38AD1B54-1DAE-4F2A-AEAB-EA488571B049}" id="{D62BB6DA-948E-4A28-B6FB-A4B13EB08F16}">
    <text>Partitions disjoint level is not disclosed</text>
  </threadedComment>
  <threadedComment ref="Q19" dT="2025-04-12T10:33:33.50" personId="{38AD1B54-1DAE-4F2A-AEAB-EA488571B049}" id="{8C615F95-29EE-4A62-9132-7E778EB89ADE}">
    <text>Training details are not disclosed (optimizer, learning rate, number of epochs)</text>
  </threadedComment>
  <threadedComment ref="R19" dT="2025-04-12T10:33:51.38" personId="{38AD1B54-1DAE-4F2A-AEAB-EA488571B049}" id="{CE57047F-CEF9-41C5-B1EA-3D6BBBB24304}">
    <text>Convergence criteria are not disclosed</text>
  </threadedComment>
  <threadedComment ref="AC19" dT="2025-04-12T10:41:54.78" personId="{38AD1B54-1DAE-4F2A-AEAB-EA488571B049}" id="{3831AEEA-9035-4DFC-B6CC-02128C3088CC}">
    <text>From data preprocessing it’s unclear whether interviewer’s turns are used for the model training</text>
  </threadedComment>
  <threadedComment ref="M21" dT="2025-04-12T11:09:27.89" personId="{38AD1B54-1DAE-4F2A-AEAB-EA488571B049}" id="{C9DA5871-6241-4670-8E15-94D802DFD5AE}">
    <text>Lack of description of validation set preprocessing</text>
  </threadedComment>
  <threadedComment ref="O21" dT="2025-04-12T11:10:03.08" personId="{38AD1B54-1DAE-4F2A-AEAB-EA488571B049}" id="{D7FD71E6-6DAA-4726-B1AB-0C34320015EF}">
    <text>Training partition was disjoint into 382 seconds fragments, however validation partition disjoint level is not disclosed</text>
  </threadedComment>
  <threadedComment ref="P21" dT="2025-04-12T11:37:30.71" personId="{38AD1B54-1DAE-4F2A-AEAB-EA488571B049}" id="{E38BABEB-CFB3-4542-917F-F07BCA21F894}">
    <text>Model hyperparameters are not disclosed (number of layers, dimensionality of each layer, convolutional kernels etc.)</text>
  </threadedComment>
  <threadedComment ref="Q21" dT="2025-04-12T11:38:30.38" personId="{38AD1B54-1DAE-4F2A-AEAB-EA488571B049}" id="{928F0FE5-2B68-4856-A132-D9FF9659BD2D}">
    <text>Training details are not disclosed (optimizer, learning rate, number of epochs)</text>
  </threadedComment>
  <threadedComment ref="R21" dT="2025-04-12T10:33:51.38" personId="{38AD1B54-1DAE-4F2A-AEAB-EA488571B049}" id="{E104377B-C474-4AC8-BB3E-598B9A685AFA}">
    <text>Convergence criteria are not disclosed</text>
  </threadedComment>
  <threadedComment ref="M22" dT="2025-04-12T15:32:54.66" personId="{38AD1B54-1DAE-4F2A-AEAB-EA488571B049}" id="{84F46DE2-4FAE-4B9B-A300-7DF85859FD98}">
    <text>Data preprocessing description is poor and chaotic: „To minimize noise in text data, commonly used words such as "and," "the," and "is" that lack significant meaning are usually eliminated”. For some reason correlation analysis is performed within AVEC 2019 dataset</text>
  </threadedComment>
  <threadedComment ref="O22" dT="2025-04-12T15:37:52.70" personId="{38AD1B54-1DAE-4F2A-AEAB-EA488571B049}" id="{D6D24D22-5AA6-4156-8903-DC06874882AD}">
    <text>Partitions disjoint level is not disclosed</text>
  </threadedComment>
  <threadedComment ref="P22" dT="2025-04-12T15:37:05.46" personId="{38AD1B54-1DAE-4F2A-AEAB-EA488571B049}" id="{680EFC0F-5806-4DB9-952F-B20D65B5730D}">
    <text xml:space="preserve">Inconsistencies in model description. Autors state extraction of „767 embeddings”, supposedly meaning „767 dimensional embeddings”, hovewer BERT model produces 768-dimensional vectors. Number of LSTM layers is not disclosed. Autoencoder dimensionality is not disclosed </text>
  </threadedComment>
  <threadedComment ref="Q22" dT="2025-04-12T15:39:25.98" personId="{38AD1B54-1DAE-4F2A-AEAB-EA488571B049}" id="{44A2EE67-55A6-4BC2-90F6-FDA083273580}">
    <text>Training description lacks details (optimizer, early stopping setting)</text>
  </threadedComment>
  <threadedComment ref="R22" dT="2025-04-12T15:41:34.39" personId="{38AD1B54-1DAE-4F2A-AEAB-EA488571B049}" id="{136AD2B7-31E1-41BA-8735-96A026829F7A}">
    <text>Early stopping was used, however description lacks details</text>
  </threadedComment>
  <threadedComment ref="Q24" dT="2025-04-12T16:16:57.97" personId="{38AD1B54-1DAE-4F2A-AEAB-EA488571B049}" id="{A07125B4-F3CD-4801-BB1B-C5BB99036794}">
    <text>Training details are not disclosed</text>
  </threadedComment>
  <threadedComment ref="R24" dT="2025-04-12T16:20:08.73" personId="{38AD1B54-1DAE-4F2A-AEAB-EA488571B049}" id="{919E3660-C35C-41A6-95B6-B281B5E41095}">
    <text xml:space="preserve">Convergence criteria for text modality are not disclosed. </text>
  </threadedComment>
  <threadedComment ref="Q37" dT="2025-04-02T07:50:36.20" personId="{38AD1B54-1DAE-4F2A-AEAB-EA488571B049}" id="{D6594F58-992F-4BF3-95A7-F4A4E2DFCFA9}">
    <text>Everything was really good except the lack of PV model pretraining process description</text>
  </threadedComment>
  <threadedComment ref="AB39" dT="2025-04-02T08:18:34.30" personId="{38AD1B54-1DAE-4F2A-AEAB-EA488571B049}" id="{241734E3-F744-4D52-B89F-96EB6D3C3153}">
    <text>No crossval, just repeated (5 times) experiments with different seeds</text>
  </threadedComment>
  <threadedComment ref="V44" dT="2025-04-02T19:28:09.57" personId="{38AD1B54-1DAE-4F2A-AEAB-EA488571B049}" id="{C536C448-E82A-4EDF-9ABA-240EDC0BD618}">
    <text>There was only train/test split so we treat these „test” results as dev, since „test” split is not held-out</text>
  </threadedComment>
  <threadedComment ref="V51" dT="2025-04-02T20:11:10.10" personId="{38AD1B54-1DAE-4F2A-AEAB-EA488571B049}" id="{B87D8D32-FF14-4B06-B8C9-9BB3CDF78D6C}">
    <text>There are inconsistencies in reported MAE values in tables with ones in the text, therefore we do not include them here</text>
  </threadedComment>
  <threadedComment ref="Q52" dT="2025-04-03T07:05:06.16" personId="{38AD1B54-1DAE-4F2A-AEAB-EA488571B049}" id="{DD6D54C5-6BC1-4E2F-A4DB-141BA1177A6C}">
    <text>Prompts are not disclosed.</text>
  </threadedComment>
  <threadedComment ref="O59" dT="2025-04-03T19:17:34.98" personId="{38AD1B54-1DAE-4F2A-AEAB-EA488571B049}" id="{4F75EA70-DAA7-467B-BD29-1E817F9F74F6}">
    <text>No clear information on disjoint level. There are mentions of „sentences” but no concise section regarding data preprocessing</text>
  </threadedComment>
  <threadedComment ref="Q59" dT="2025-04-03T19:18:23.96" personId="{38AD1B54-1DAE-4F2A-AEAB-EA488571B049}" id="{5AF726B1-29B7-4FF3-9A28-0B9438A210B6}">
    <text>No description of the final model archtecture. There are mentions of SVM and DT but nothing about link between them</text>
  </threadedComment>
  <threadedComment ref="I60" dT="2025-04-03T19:26:00.92" personId="{38AD1B54-1DAE-4F2A-AEAB-EA488571B049}" id="{DE069F52-8C4D-49C6-A026-295FF162079F}">
    <text xml:space="preserve">Almost exact same architecture as in 
„Hybrid Depression Classification and Estimation from Audio Video and Text Information”
https://doi.org/10.1145/3133944.3133950
Same authors, same year (and same journal issue)
</text>
    <extLst>
      <x:ext xmlns:xltc2="http://schemas.microsoft.com/office/spreadsheetml/2020/threadedcomments2" uri="{F7C98A9C-CBB3-438F-8F68-D28B6AF4A901}">
        <xltc2:checksum>2164637669</xltc2:checksum>
        <xltc2:hyperlink startIndex="126" length="39" url="https://doi.org/10.1145/3133944.3133950"/>
      </x:ext>
    </extLst>
  </threadedComment>
  <threadedComment ref="M65" dT="2025-04-05T20:46:49.21" personId="{38AD1B54-1DAE-4F2A-AEAB-EA488571B049}" id="{C12E0521-C4AD-4E57-8ACA-D31644BFB1A7}">
    <text>Weak description of data preprocesing</text>
  </threadedComment>
  <threadedComment ref="O65" dT="2025-04-05T20:47:26.17" personId="{38AD1B54-1DAE-4F2A-AEAB-EA488571B049}" id="{D3EB1694-FCB7-4DBC-9338-25A27F838D40}">
    <text>Unclear partitions disjoint level</text>
  </threadedComment>
  <threadedComment ref="P65" dT="2025-04-05T20:54:54.42" personId="{38AD1B54-1DAE-4F2A-AEAB-EA488571B049}" id="{4F827CA5-96E1-4D9A-9530-E38196E4A45C}">
    <text>Very chaotic desctiption of models used per modality and their ensemble</text>
  </threadedComment>
  <threadedComment ref="M127" dT="2025-04-12T17:12:53.78" personId="{38AD1B54-1DAE-4F2A-AEAB-EA488571B049}" id="{D42D618F-E3CE-4EC1-9EE4-A4EAED30C66E}">
    <text>Data preprocessing is not disclosed</text>
  </threadedComment>
  <threadedComment ref="Q127" dT="2025-04-12T16:33:00.28" personId="{38AD1B54-1DAE-4F2A-AEAB-EA488571B049}" id="{18A7B5B6-8AFD-4397-B747-6A4EE3991145}">
    <text>Learning rate decay is not described. Cross-validation is performed on an unknown partition</text>
  </threadedComment>
  <threadedComment ref="R127" dT="2025-04-12T17:10:48.59" personId="{38AD1B54-1DAE-4F2A-AEAB-EA488571B049}" id="{B7576B8A-6228-4FB1-B604-631C9A8EE7AB}">
    <text>The description of best model selection is vague: „As shown in Table V, we give the hyperparameters used in our experiments and tune the hyperparameters via grid search in the validation set, at meantime we train all the learning models using 5-cross validation.„ It’s unclear on which subset the cross-validation is performed</text>
  </threadedComment>
  <threadedComment ref="U127" dT="2025-04-12T17:01:08.05" personId="{38AD1B54-1DAE-4F2A-AEAB-EA488571B049}" id="{FCB1BEB6-4975-4F57-8E90-64FBDDFCC56F}">
    <text>Reported results regard unknown partiion</text>
  </threadedComment>
  <threadedComment ref="I133" dT="2025-04-05T21:22:28.47" personId="{38AD1B54-1DAE-4F2A-AEAB-EA488571B049}" id="{FF77D7A8-49AA-4492-BCD1-E1C5C57C4A0C}">
    <text>Stolen architecture from „Towards automatic text-based estimation of depression through symptom prediction” https://doi.org/10.1186/s40708-023-00185-9
(2023)</text>
    <extLst>
      <x:ext xmlns:xltc2="http://schemas.microsoft.com/office/spreadsheetml/2020/threadedcomments2" uri="{F7C98A9C-CBB3-438F-8F68-D28B6AF4A901}">
        <xltc2:checksum>3021680822</xltc2:checksum>
        <xltc2:hyperlink startIndex="108" length="42" url="https://doi.org/10.1186/s40708-023-00185-9"/>
      </x:ext>
    </extLst>
  </threadedComment>
  <threadedComment ref="I134" dT="2025-04-05T21:39:26.87" personId="{38AD1B54-1DAE-4F2A-AEAB-EA488571B049}" id="{5F3F83A7-B7F4-4A10-91A5-338772EF050A}">
    <text>Identical architecture as in  „Towards automatic text-based estimation of depression through symptom prediction” https://doi.org/10.1186/s40708-023-00185-9
(2023)
The only difference is additional preprocessing of samples</text>
    <extLst>
      <x:ext xmlns:xltc2="http://schemas.microsoft.com/office/spreadsheetml/2020/threadedcomments2" uri="{F7C98A9C-CBB3-438F-8F68-D28B6AF4A901}">
        <xltc2:checksum>229148351</xltc2:checksum>
        <xltc2:hyperlink startIndex="113" length="42" url="https://doi.org/10.1186/s40708-023-00185-9"/>
      </x:ext>
    </extLst>
  </threadedComment>
  <threadedComment ref="I135" dT="2025-04-06T16:30:57.02" personId="{38AD1B54-1DAE-4F2A-AEAB-EA488571B049}" id="{3E03AF45-57E1-4BF5-BF08-ADB13A29E840}">
    <text>Similar to „Hierarchical Attention Transfer Networks for Depression Assessment from Speech”
https://doi.org/10.1109/ICASSP40776.2020.9053207
Same authors, same year of publication (2020)</text>
    <extLst>
      <x:ext xmlns:xltc2="http://schemas.microsoft.com/office/spreadsheetml/2020/threadedcomments2" uri="{F7C98A9C-CBB3-438F-8F68-D28B6AF4A901}">
        <xltc2:checksum>2978490067</xltc2:checksum>
        <xltc2:hyperlink startIndex="92" length="48" url="https://doi.org/10.1109/ICASSP40776.2020.9053207"/>
      </x:ext>
    </extLst>
  </threadedComment>
  <threadedComment ref="I137" dT="2025-04-06T17:06:06.61" personId="{38AD1B54-1DAE-4F2A-AEAB-EA488571B049}" id="{E8361CB6-D713-4A2A-9821-68FDFD14E50A}">
    <text xml:space="preserve">We suspect that „prefix tuning” is used only to justify the scientific novelty of the work: „To the best of our knowledge, this work is the first instance of leveraging prefix-tuning for the task of depression diagnosis prediction. „
Except the pre-training technique and using QR pairs instead of interview turns, the work relies on the same regression architecture as in 
„Towards automatic text-based estimation of depression through symptom prediction”
https://doi.org/10.1186/s40708-023-00185-9
(published 13 February 2023)
This work was published 15 June 2023
</text>
    <extLst>
      <x:ext xmlns:xltc2="http://schemas.microsoft.com/office/spreadsheetml/2020/threadedcomments2" uri="{F7C98A9C-CBB3-438F-8F68-D28B6AF4A901}">
        <xltc2:checksum>456114270</xltc2:checksum>
        <xltc2:hyperlink startIndex="458" length="42" url="https://doi.org/10.1186/s40708-023-00185-9"/>
      </x:ext>
    </extLst>
  </threadedComment>
  <threadedComment ref="Q139" dT="2025-04-06T17:55:21.96" personId="{38AD1B54-1DAE-4F2A-AEAB-EA488571B049}" id="{239E56BD-F310-4503-8A94-CAB4F2DEE74F}">
    <text>No information regarding number of epochs and convergence criteria</text>
  </threadedComment>
  <threadedComment ref="Q139" dT="2025-04-06T17:56:41.11" personId="{38AD1B54-1DAE-4F2A-AEAB-EA488571B049}" id="{9C5186EA-5979-46FC-9CC4-690833E1D867}" parentId="{239E56BD-F310-4503-8A94-CAB4F2DEE74F}">
    <text>No information on hyperparameters tuned</text>
  </threadedComment>
  <threadedComment ref="U139" dT="2025-04-06T18:02:04.12" personId="{38AD1B54-1DAE-4F2A-AEAB-EA488571B049}" id="{2E35A4BF-C58C-47C5-8D99-05F190E38934}">
    <text>We suppose that results are reported for the validation (dev) set, however it is not disclosed anywhere in paper</text>
  </threadedComment>
  <threadedComment ref="V139" dT="2025-04-06T18:02:04.12" personId="{38AD1B54-1DAE-4F2A-AEAB-EA488571B049}" id="{5CBA867F-F162-4C65-A8C5-83AF3FBFFD78}">
    <text>We suppose that results are reported for the validation (dev) set, however it is not disclosed anywhere in paper</text>
  </threadedComment>
  <threadedComment ref="N142" dT="2025-04-06T18:33:07.70" personId="{38AD1B54-1DAE-4F2A-AEAB-EA488571B049}" id="{70C958AC-3EA8-443A-9F7E-3A78A929E3D9}">
    <text>No information regarding data partitioning. There’s a mention of a „standard protocol” but we did’t find obvious data partitioning scheme there</text>
  </threadedComment>
  <threadedComment ref="P142" dT="2025-04-06T18:29:41.22" personId="{38AD1B54-1DAE-4F2A-AEAB-EA488571B049}" id="{C87EB2D5-8870-472A-94CE-643E985FD019}">
    <text>No information regarding threshold used for selection a number of layers</text>
  </threadedComment>
  <threadedComment ref="Q142" dT="2025-04-06T18:23:49.86" personId="{38AD1B54-1DAE-4F2A-AEAB-EA488571B049}" id="{04B90ADB-08C2-48C3-9E35-718DB089F610}">
    <text>Some of the prompts are not disclosed, but we put here N/A since the model is not actually trained</text>
  </threadedComment>
  <threadedComment ref="I143" dT="2025-04-06T18:50:22.59" personId="{38AD1B54-1DAE-4F2A-AEAB-EA488571B049}" id="{232B2CFA-B534-497F-9CB0-64ADF6267D62}">
    <text>Same authors and architecture as in „Gender-aware estimation of depression severity level in a multimodal setting”. 
https://ieeexplore.ieee.org/abstract/document/9534330/
Hovewer this work was published earlier we still consider this as not introducing novelty.</text>
    <extLst>
      <x:ext xmlns:xltc2="http://schemas.microsoft.com/office/spreadsheetml/2020/threadedcomments2" uri="{F7C98A9C-CBB3-438F-8F68-D28B6AF4A901}">
        <xltc2:checksum>1776099871</xltc2:checksum>
        <xltc2:hyperlink startIndex="117" length="54" url="https://ieeexplore.ieee.org/abstract/document/9534330/"/>
      </x:ext>
    </extLst>
  </threadedComment>
  <threadedComment ref="M144" dT="2025-04-09T17:56:33.40" personId="{38AD1B54-1DAE-4F2A-AEAB-EA488571B049}" id="{1DDD1A0A-4C59-4F1D-887A-466C2DDAC19B}">
    <text>Vague description of data preprocessing (oversampling, irrelevant data filtering, mel spectrogram calculation)</text>
  </threadedComment>
  <threadedComment ref="O144" dT="2025-04-09T17:52:02.25" personId="{38AD1B54-1DAE-4F2A-AEAB-EA488571B049}" id="{E26C94BA-ED51-4166-8F00-00ED7962D6DE}">
    <text>It’s not clear at which level partitions are disjoint</text>
  </threadedComment>
  <threadedComment ref="R144" dT="2025-04-09T17:51:28.82" personId="{38AD1B54-1DAE-4F2A-AEAB-EA488571B049}" id="{B930B21D-44A8-475E-B41A-BB358D9639A7}">
    <text>No convergence criteria applied. Model was trained for fixed amount of epochs</text>
  </threadedComment>
  <threadedComment ref="AB150" dT="2025-04-09T19:08:29.95" personId="{38AD1B54-1DAE-4F2A-AEAB-EA488571B049}" id="{50E07006-FBD2-4CE1-B0A3-606576B51666}">
    <text>Crossval is performed in ablation study and results are: testMAE=3,52; testRMSE=4,32</text>
  </threadedComment>
  <threadedComment ref="M151" dT="2025-04-13T08:48:28.40" personId="{38AD1B54-1DAE-4F2A-AEAB-EA488571B049}" id="{BA7D8F85-C321-427E-BB22-96879C8CD266}">
    <text>It’s unclear how 512 ResNet18 features were extracted from various timeseries spatial data</text>
  </threadedComment>
  <threadedComment ref="P151" dT="2025-04-13T08:57:15.18" personId="{38AD1B54-1DAE-4F2A-AEAB-EA488571B049}" id="{94325C28-0555-4441-BBA4-D8DCB054C488}">
    <text>Architecture is over-complicated and taking into consideration issues with data preprocessing and training details we do not delve into analyzing the proposed architecture</text>
  </threadedComment>
  <threadedComment ref="Q151" dT="2025-04-13T09:02:50.26" personId="{38AD1B54-1DAE-4F2A-AEAB-EA488571B049}" id="{DAB292EC-01D7-454E-AA87-615A8598FE27}">
    <text>Lack of training-related details (number of epochs, optimizer)</text>
  </threadedComment>
  <threadedComment ref="R151" dT="2025-04-13T09:02:21.88" personId="{38AD1B54-1DAE-4F2A-AEAB-EA488571B049}" id="{6C749010-EDC1-4C8E-9FA8-809AD6D15563}">
    <text xml:space="preserve">Convergence criteria are not disclosed. </text>
  </threadedComment>
  <threadedComment ref="M155" dT="2025-04-13T09:19:14.86" personId="{38AD1B54-1DAE-4F2A-AEAB-EA488571B049}" id="{2D0465DD-01ED-4968-B70D-F5AFE1CE25E5}">
    <text>Exhaustive description of the data preprocessing</text>
  </threadedComment>
  <threadedComment ref="P155" dT="2025-04-13T09:39:07.12" personId="{38AD1B54-1DAE-4F2A-AEAB-EA488571B049}" id="{B2D44447-2C3E-4FD9-8E11-0F7603F8B958}">
    <text>Equation 1 presents operations performed on input in a wrong order</text>
  </threadedComment>
  <threadedComment ref="R155" dT="2025-04-13T10:05:37.79" personId="{38AD1B54-1DAE-4F2A-AEAB-EA488571B049}" id="{226F52C7-179E-41B6-A6A9-ED3A8A1731AE}">
    <text>Ablation study is performed on unknown data partition. Best model selection criteria are not disclosed</text>
  </threadedComment>
  <threadedComment ref="M159" dT="2025-04-09T19:57:16.77" personId="{38AD1B54-1DAE-4F2A-AEAB-EA488571B049}" id="{0E399AB5-F9A7-407D-A208-4A621FC75B15}">
    <text>No information regarding including interviewer turns in transcripts</text>
  </threadedComment>
  <threadedComment ref="Q159" dT="2025-04-09T19:24:56.99" personId="{38AD1B54-1DAE-4F2A-AEAB-EA488571B049}" id="{1D26D19A-A93C-48F6-9EB4-99E66DEBC54F}">
    <text>Authors use multitask objective, predicting binary label and phq8 score simultaneously</text>
  </threadedComment>
  <threadedComment ref="U159" dT="2025-04-09T19:58:57.22" personId="{38AD1B54-1DAE-4F2A-AEAB-EA488571B049}" id="{0B171D47-59C1-4635-9E12-DC01C92A2163}">
    <text>Here we include reported averages for the hparams combination which according to the authors produced best model - fastText with mean pooling</text>
  </threadedComment>
  <threadedComment ref="N161" dT="2025-04-09T20:22:03.24" personId="{38AD1B54-1DAE-4F2A-AEAB-EA488571B049}" id="{25A8D58B-D5D2-457C-94D7-7CE4EA476FBE}">
    <text>Data partitioning is not disclosed</text>
  </threadedComment>
  <threadedComment ref="Q161" dT="2025-04-09T20:26:23.92" personId="{38AD1B54-1DAE-4F2A-AEAB-EA488571B049}" id="{99DC417D-BEEC-411B-A77C-301FCA403E83}">
    <text>Training details are not disclosed</text>
  </threadedComment>
  <threadedComment ref="U161" dT="2025-04-09T20:23:15.05" personId="{38AD1B54-1DAE-4F2A-AEAB-EA488571B049}" id="{C7F77C37-1972-4514-ABD4-3E233A142C77}">
    <text>Reported results regard unknown partition, therefore are not included in our table</text>
  </threadedComment>
  <threadedComment ref="Q162" dT="2025-04-09T20:51:49.80" personId="{38AD1B54-1DAE-4F2A-AEAB-EA488571B049}" id="{B2D55262-5DAC-40DD-8409-2A6FDA7E4656}">
    <text>Hyperparameters which achieved best performance (including number of epochs) are not disclosed</text>
  </threadedComment>
  <threadedComment ref="Q162" dT="2025-04-09T21:11:41.92" personId="{38AD1B54-1DAE-4F2A-AEAB-EA488571B049}" id="{C7DC6DB0-DF50-4320-81C5-67467E2A7674}" parentId="{B2D55262-5DAC-40DD-8409-2A6FDA7E4656}">
    <text>Multitask training</text>
  </threadedComment>
  <threadedComment ref="X162" dT="2025-04-09T21:15:23.23" personId="{38AD1B54-1DAE-4F2A-AEAB-EA488571B049}" id="{29098707-59E9-407C-B0AC-D72B9D11FB7C}">
    <text>We assume that reported values regard test set, however this is not explicitly stated in the paper</text>
  </threadedComment>
  <threadedComment ref="I164" dT="2025-04-13T10:24:40.35" personId="{38AD1B54-1DAE-4F2A-AEAB-EA488571B049}" id="{17C38BA3-180B-4B77-99AC-549891FE7CA6}">
    <text>Same authors and very similar architecture as in „Enhancing Depression Detection: Employing Autoencoders and Linguistic Feature Analysis with BERT and LSTM Model”
https://doi.org/10.1109/RusAutoCon58002.2023.10272795
Training models on QA pairs was also explored in previous work in this field</text>
  </threadedComment>
  <threadedComment ref="M168" dT="2025-04-17T20:47:17.04" personId="{38AD1B54-1DAE-4F2A-AEAB-EA488571B049}" id="{7E22DCD6-AB09-44C8-A2E7-5E467C0C226C}">
    <text>Described video preprocessing is not applicable to DAIC-WOZ dataset, since the features are already extracted from video. BoW extraction from transcripts is vague</text>
  </threadedComment>
  <threadedComment ref="P168" dT="2025-04-17T20:41:03.13" personId="{38AD1B54-1DAE-4F2A-AEAB-EA488571B049}" id="{BA533ADF-4DF1-430B-B73B-E068D4AAD557}">
    <text>Exact dimensionalities and number of layers is not disclosed</text>
  </threadedComment>
  <threadedComment ref="Q168" dT="2025-04-17T20:55:49.79" personId="{38AD1B54-1DAE-4F2A-AEAB-EA488571B049}" id="{6DEA035D-04F0-4E8A-8177-9FECB41806AA}">
    <text>Training-related details are not disclosed (optimizer, learning rate, number of epochs etc)</text>
  </threadedComment>
  <threadedComment ref="R168" dT="2025-04-17T20:58:09.83" personId="{38AD1B54-1DAE-4F2A-AEAB-EA488571B049}" id="{7732DB7C-7EA3-4C92-87E5-D08E73B3E315}">
    <text>Convergence and best model selection criteria are not disclosed</text>
  </threadedComment>
  <threadedComment ref="M169" dT="2025-04-10T18:21:13.36" personId="{38AD1B54-1DAE-4F2A-AEAB-EA488571B049}" id="{F3F88B72-07F2-4E31-ACE5-BB60B29C3D39}">
    <text>No information regarding data preprocessing. It’s unclear how 767 BERT embeddings were extracted from transcripts and why they were identified as essential</text>
  </threadedComment>
  <threadedComment ref="O169" dT="2025-04-10T18:32:26.92" personId="{38AD1B54-1DAE-4F2A-AEAB-EA488571B049}" id="{13D0120B-D25F-4D2F-A3AA-791BDE601FB3}">
    <text>Partitions disjoint level is not disclosed</text>
  </threadedComment>
  <threadedComment ref="P169" dT="2025-04-10T18:17:33.21" personId="{38AD1B54-1DAE-4F2A-AEAB-EA488571B049}" id="{C54D3268-9963-4670-885A-164043CBF2C8}">
    <text>Chaotic description of the model</text>
  </threadedComment>
  <threadedComment ref="Q169" dT="2025-04-10T18:18:35.06" personId="{38AD1B54-1DAE-4F2A-AEAB-EA488571B049}" id="{9EF6F554-393B-485D-9E3E-3886A063C914}">
    <text>Number of epochs and optimizer are not disclosed</text>
  </threadedComment>
  <threadedComment ref="R169" dT="2025-04-10T18:32:54.57" personId="{38AD1B54-1DAE-4F2A-AEAB-EA488571B049}" id="{6AD423DF-21DA-4C6D-953E-13FEC4D19F3B}">
    <text>Convergence criteria are not disclosed.</text>
  </threadedComment>
  <threadedComment ref="U169" dT="2025-04-10T18:34:47.47" personId="{38AD1B54-1DAE-4F2A-AEAB-EA488571B049}" id="{403ACB70-1F41-4813-80CF-8874860DE1BA}">
    <text>We suspect that these results are falsely reported. MAE is too small for R2 which is less than 0.7. Also comparing this to other quality works reported results do not look realistic</text>
  </threadedComment>
  <threadedComment ref="O170" dT="2025-04-10T19:29:55.14" personId="{38AD1B54-1DAE-4F2A-AEAB-EA488571B049}" id="{E34C4837-E4DE-47AC-BA53-727154261DBD}">
    <text>Unclear partitions disjoint level</text>
  </threadedComment>
  <threadedComment ref="Q170" dT="2025-04-10T19:28:48.81" personId="{38AD1B54-1DAE-4F2A-AEAB-EA488571B049}" id="{BAB18B65-4E77-45A3-9A5B-0CE1BC9C8FDD}">
    <text>Number of epochs for multimodal model training is not disclosed</text>
  </threadedComment>
  <threadedComment ref="M171" dT="2025-04-10T19:58:21.35" personId="{38AD1B54-1DAE-4F2A-AEAB-EA488571B049}" id="{8175C45F-5957-4219-BD23-758D4CDFBAE7}">
    <text>Feature extraction for audio and video modalities is weakly described</text>
  </threadedComment>
  <threadedComment ref="O171" dT="2025-04-10T20:06:05.63" personId="{38AD1B54-1DAE-4F2A-AEAB-EA488571B049}" id="{0752A1ED-0987-4831-AD83-A7480440D908}">
    <text>Partitions disjoint level is not clearly disclosed</text>
  </threadedComment>
  <threadedComment ref="Q171" dT="2025-04-10T20:07:38.37" personId="{38AD1B54-1DAE-4F2A-AEAB-EA488571B049}" id="{7793AD39-F74F-4452-BD36-4ED781EC6505}">
    <text>Training details are not disclosed</text>
  </threadedComment>
  <threadedComment ref="U171" dT="2025-04-10T20:00:56.31" personId="{38AD1B54-1DAE-4F2A-AEAB-EA488571B049}" id="{16357A52-4A00-4324-8A0C-3280E49B5A6A}">
    <text>Reported results regard unknown partition</text>
  </threadedComment>
  <threadedComment ref="P173" dT="2025-04-10T20:35:44.39" personId="{38AD1B54-1DAE-4F2A-AEAB-EA488571B049}" id="{FBE253FE-3884-4D6F-8EC4-64F580608B77}">
    <text>Tree-based feature selection algorithm is not described. Lambda layer is not described. Parametrization is not disclosed</text>
  </threadedComment>
  <threadedComment ref="Q173" dT="2025-04-10T20:29:31.08" personId="{38AD1B54-1DAE-4F2A-AEAB-EA488571B049}" id="{B25B2ED6-91B3-44C9-8847-174EE6EAB38A}">
    <text>Text embedding finetuning on conversational data is not disclosed. Lack of training details regarding audio, visual an multi- modal models. Hyperparameters tuned are not disclosed</text>
  </threadedComment>
  <threadedComment ref="R173" dT="2025-04-10T20:29:59.59" personId="{38AD1B54-1DAE-4F2A-AEAB-EA488571B049}" id="{6ECCA042-5ACE-4B4D-AB03-B8CE582ED431}">
    <text>Final model selection criteria are not disclosed</text>
  </threadedComment>
  <threadedComment ref="P175" dT="2025-04-17T19:41:29.91" personId="{38AD1B54-1DAE-4F2A-AEAB-EA488571B049}" id="{DA2785B7-03AB-4BF7-81D1-C2692755B205}">
    <text>Exact architecture with number of BiLSTM layers is not disclosed (hyperparams was tuned, but the best combination is not reported)</text>
  </threadedComment>
  <threadedComment ref="R175" dT="2025-04-17T19:40:03.45" personId="{38AD1B54-1DAE-4F2A-AEAB-EA488571B049}" id="{D956A544-2B20-45A1-A0B1-3AEC94DC60B2}">
    <text>Hyperparameter tuning was performed, however best model selection criteria are not disclosed. Convergence criteria are vague: „[...] an early-stopping criterion of 0.001 threshold over a maximum epoch of 100 [...]”</text>
  </threadedComment>
  <threadedComment ref="M176" dT="2025-04-13T14:17:09.57" personId="{38AD1B54-1DAE-4F2A-AEAB-EA488571B049}" id="{D235CE31-05BC-4E6A-91CD-7AFEDC1FDEA0}">
    <text>Described data preprocessing is not applicable to DAIC-WOZ dataset. It is also unclear whether audio features include interviewer utterances. Description of dictionaries composition from BERT is vague</text>
  </threadedComment>
  <threadedComment ref="Q176" dT="2025-04-17T19:15:27.30" personId="{38AD1B54-1DAE-4F2A-AEAB-EA488571B049}" id="{EDD049C4-92CE-402F-8933-06B5B39FC972}">
    <text>Number of training epochs is not disclosed</text>
  </threadedComment>
  <threadedComment ref="R176" dT="2025-04-17T19:15:07.33" personId="{38AD1B54-1DAE-4F2A-AEAB-EA488571B049}" id="{77B1DA13-8310-45D6-B3BB-EB22D3BD4912}">
    <text>Hyperparameter tuning was performed, however best model selection criteria are not disclosed: „To determine the value of N in Fig. 1, we conduct multiple experiments.”</text>
  </threadedComment>
  <threadedComment ref="P180" dT="2025-04-17T18:44:52.42" personId="{38AD1B54-1DAE-4F2A-AEAB-EA488571B049}" id="{454AD9B6-53C4-40C3-9F62-83DDE9E4A4B8}">
    <text>Architecture is overcomplicated and considering issues in training description and final model selection we do not extract the model description</text>
  </threadedComment>
  <threadedComment ref="Q180" dT="2025-04-17T18:33:00.35" personId="{38AD1B54-1DAE-4F2A-AEAB-EA488571B049}" id="{A6EF5086-DFF6-4ED0-8D8F-CBC2B2AEC7AA}">
    <text>It is unclear whether authors use gradient checkpointing with parameters update once every 25 epochs or they mean something else: „We perform updates every 25 epochs, with a batch size of 8 [...]”</text>
  </threadedComment>
  <threadedComment ref="R180" dT="2025-04-17T18:35:09.76" personId="{38AD1B54-1DAE-4F2A-AEAB-EA488571B049}" id="{52FEB434-B4C2-45AC-971B-0BAEAA129D25}">
    <text>Hyperparameter tuning is mentioned, hovewer best model selection criteria are not provided</text>
  </threadedComment>
  <threadedComment ref="U180" dT="2025-04-17T18:26:12.87" personId="{38AD1B54-1DAE-4F2A-AEAB-EA488571B049}" id="{3AA2E6B0-D7C6-4F5B-A0CB-6BC79D420009}">
    <text>Reported results regard unknown partition, however we might assume that it is was test set</text>
  </threadedComment>
  <threadedComment ref="AA180" dT="2025-04-17T18:33:26.97" personId="{38AD1B54-1DAE-4F2A-AEAB-EA488571B049}" id="{BD432027-419A-443B-831C-571E2879A436}">
    <text>Repository is empty</text>
  </threadedComment>
  <threadedComment ref="I181" dT="2025-04-11T05:50:27.59" personId="{38AD1B54-1DAE-4F2A-AEAB-EA488571B049}" id="{7CF707E3-4321-44E6-8419-305986DE3066}">
    <text>Almost exact same architecture as in 
„Hybrid Depression Classification and Estimation from Audio Video and Text Information”
https://doi.org/10.1145/3133944.3133950
Exact (except for lack of text modality) as in „Multimodal Measurement of Depression Using Deep Learning Models”
https://doi.org/10.1145/3133944.3133948 
Same authors, all papers published in Oct 2017</text>
    <extLst>
      <x:ext xmlns:xltc2="http://schemas.microsoft.com/office/spreadsheetml/2020/threadedcomments2" uri="{F7C98A9C-CBB3-438F-8F68-D28B6AF4A901}">
        <xltc2:checksum>153363529</xltc2:checksum>
        <xltc2:hyperlink startIndex="126" length="39" url="https://doi.org/10.1145/3133944.3133950"/>
        <xltc2:hyperlink startIndex="280" length="39" url="https://doi.org/10.1145/3133944.3133948"/>
      </x:ext>
    </extLst>
  </threadedComment>
  <threadedComment ref="I185" dT="2025-04-11T06:47:33.61" personId="{38AD1B54-1DAE-4F2A-AEAB-EA488571B049}" id="{010B2439-94B1-4B52-B2A6-F6574274F4C3}">
    <text xml:space="preserve">Same authors and architecture as in „Gender-aware estimation of depression severity level in a multimodal setting” with such difference that model works with no regard to gender.  
https://ieeexplore.ieee.org/abstract/document/9534330/
Hovewer this work was published earlier we still consider this as not introducing novelty.
</text>
    <extLst>
      <x:ext xmlns:xltc2="http://schemas.microsoft.com/office/spreadsheetml/2020/threadedcomments2" uri="{F7C98A9C-CBB3-438F-8F68-D28B6AF4A901}">
        <xltc2:checksum>2644292531</xltc2:checksum>
        <xltc2:hyperlink startIndex="181" length="54" url="https://ieeexplore.ieee.org/abstract/document/9534330/"/>
      </x:ext>
    </extLst>
  </threadedComment>
  <threadedComment ref="M186" dT="2025-04-15T19:28:58.11" personId="{38AD1B54-1DAE-4F2A-AEAB-EA488571B049}" id="{BCB79246-6102-45B6-BA5A-B994BCB3728F}">
    <text>Data preprocessing for each modality is not described. Graph construction process from data is unclear</text>
  </threadedComment>
  <threadedComment ref="N186" dT="2025-04-15T19:27:47.35" personId="{38AD1B54-1DAE-4F2A-AEAB-EA488571B049}" id="{682A370B-46C7-4C32-859C-6B3D8AEA073C}">
    <text>Data partitioning is not disclosed</text>
  </threadedComment>
  <threadedComment ref="O186" dT="2025-04-15T19:41:21.30" personId="{38AD1B54-1DAE-4F2A-AEAB-EA488571B049}" id="{7BFC5B8C-3EAD-4D37-9820-C691EAFCEEB7}">
    <text>Partitions disjoint level does not result from graph construction process</text>
  </threadedComment>
  <threadedComment ref="Q186" dT="2025-04-15T19:36:32.56" personId="{38AD1B54-1DAE-4F2A-AEAB-EA488571B049}" id="{0180D274-815C-40FC-944D-5C362B36EA51}">
    <text>Authors probably confuse lambda (learning rate) with Adam beta1 and beta2 parameters. Training is performed on an unknown partition</text>
  </threadedComment>
  <threadedComment ref="U186" dT="2025-04-15T19:38:16.06" personId="{38AD1B54-1DAE-4F2A-AEAB-EA488571B049}" id="{1A393B53-6B5E-4E2C-A97F-92281931E5DC}">
    <text>Reported results regard unknown partition</text>
  </threadedComment>
  <threadedComment ref="N188" dT="2025-04-11T14:45:00.90" personId="{38AD1B54-1DAE-4F2A-AEAB-EA488571B049}" id="{23C80023-4329-4691-8C41-9AB9E1940322}">
    <text>Data partitioning is not disclosed</text>
  </threadedComment>
  <threadedComment ref="O188" dT="2025-04-11T14:45:12.93" personId="{38AD1B54-1DAE-4F2A-AEAB-EA488571B049}" id="{81A4A647-9EE2-4F26-AC32-DF193C9CCC3E}">
    <text>Partitions disjoint level is not disclosed</text>
  </threadedComment>
  <threadedComment ref="P188" dT="2025-04-11T14:43:27.84" personId="{38AD1B54-1DAE-4F2A-AEAB-EA488571B049}" id="{EA2A0425-1D5B-4FC2-9554-F9A3D5FB5EAE}">
    <text>Details regarding model are not disclosed (e.g. number of layers)</text>
  </threadedComment>
  <threadedComment ref="Q188" dT="2025-04-11T14:50:30.21" personId="{38AD1B54-1DAE-4F2A-AEAB-EA488571B049}" id="{987C1560-5D37-4B0A-9715-4D8700202047}">
    <text>Training process is poorly described</text>
  </threadedComment>
  <threadedComment ref="R188" dT="2025-04-11T14:50:18.84" personId="{38AD1B54-1DAE-4F2A-AEAB-EA488571B049}" id="{BF675BA8-A443-41CE-9A93-F92C533AEF11}">
    <text>Lack of convergence criteria</text>
  </threadedComment>
  <threadedComment ref="U188" dT="2025-04-11T14:51:09.00" personId="{38AD1B54-1DAE-4F2A-AEAB-EA488571B049}" id="{4055D0AB-C609-43D5-87A5-980A1F5E0512}">
    <text>Reported results regard unknown partition</text>
  </threadedComment>
  <threadedComment ref="Q194" dT="2025-04-14T19:36:18.09" personId="{38AD1B54-1DAE-4F2A-AEAB-EA488571B049}" id="{B55FB8D9-145D-4872-B6CA-F6DF1EFD5256}">
    <text>Training-related details are not fully disclosed (number of epochs, best hyperparameters setting)</text>
  </threadedComment>
  <threadedComment ref="R194" dT="2025-04-14T19:29:03.80" personId="{38AD1B54-1DAE-4F2A-AEAB-EA488571B049}" id="{0BC9EC53-3D5C-4A1D-AA9A-0C63FBAC85E4}">
    <text xml:space="preserve">Convergence and best model selection criteria are not disclosed.  </text>
  </threadedComment>
  <threadedComment ref="Q206" dT="2025-04-11T15:29:25.96" personId="{38AD1B54-1DAE-4F2A-AEAB-EA488571B049}" id="{544DC78A-AF99-4622-B528-719182482E72}">
    <text>Lack of training-related details (learning rate, dropout, number of epochs). Tuned hyperparameters are not disclosed</text>
  </threadedComment>
  <threadedComment ref="R206" dT="2025-04-11T15:31:48.39" personId="{38AD1B54-1DAE-4F2A-AEAB-EA488571B049}" id="{9F468C17-4238-4301-B5A6-B6CF18C1B320}">
    <text>Lack of convergence criteria</text>
  </threadedComment>
  <threadedComment ref="U206" dT="2025-04-11T15:31:26.67" personId="{38AD1B54-1DAE-4F2A-AEAB-EA488571B049}" id="{0CF30255-8A3D-4919-9233-FFF88F64BDEC}">
    <text>Reported results regard unknown partition</text>
  </threadedComment>
  <threadedComment ref="AB206" dT="2025-04-11T15:35:37.93" personId="{38AD1B54-1DAE-4F2A-AEAB-EA488571B049}" id="{7108276D-7BAD-4C60-8328-BCB059D3D8F0}">
    <text>Crossval was used on training set for hyperparameters tuning, however tuned hyperparameters are not disclosed</text>
  </threadedComment>
  <threadedComment ref="Q208" dT="2025-04-11T16:01:29.20" personId="{38AD1B54-1DAE-4F2A-AEAB-EA488571B049}" id="{C5F1093F-9A67-46F1-BB46-E2ED57133E58}">
    <text xml:space="preserve">Linear Regression is trained over selected features. </text>
  </threadedComment>
  <threadedComment ref="U208" dT="2025-04-11T15:42:24.91" personId="{38AD1B54-1DAE-4F2A-AEAB-EA488571B049}" id="{7E8CE905-D68B-46B6-BF95-92BB9D2FA33E}">
    <text>These results are for Linear Regression with Pearson Correlation for features selection</text>
  </threadedComment>
  <threadedComment ref="R210" dT="2025-04-11T17:17:08.50" personId="{38AD1B54-1DAE-4F2A-AEAB-EA488571B049}" id="{95F9FDCB-C409-4D61-9B8E-6A459F2B95EA}">
    <text>We assume that term „evaluation” here relates to development set, since reported results regard test set.</text>
  </threadedComment>
  <threadedComment ref="P231" dT="2025-04-11T18:16:15.33" personId="{38AD1B54-1DAE-4F2A-AEAB-EA488571B049}" id="{53A145EB-5B5C-43AF-8DE6-CF60C8320023}">
    <text>Number of model layers is not disclosed</text>
  </threadedComment>
  <threadedComment ref="Q231" dT="2025-04-11T18:12:54.02" personId="{38AD1B54-1DAE-4F2A-AEAB-EA488571B049}" id="{2C5027EE-E875-4E68-BDE4-419515D07511}">
    <text>Lack of training-related details (e.g. number of epochs. Optimization of layers number N is unclear: „best value N is determined from optimizing on heldout data” since „heldout data” refers to an unknown data partition</text>
  </threadedComment>
  <threadedComment ref="M242" dT="2025-04-13T18:59:07.71" personId="{38AD1B54-1DAE-4F2A-AEAB-EA488571B049}" id="{3E8368AE-4C76-4EE5-9606-A227752F0E4D}">
    <text>Data preprocessing is not disclosed</text>
  </threadedComment>
  <threadedComment ref="O242" dT="2025-04-13T19:01:03.36" personId="{38AD1B54-1DAE-4F2A-AEAB-EA488571B049}" id="{67041EBC-E75E-4F20-A731-06D3FD083A42}">
    <text>Partitions disjoint level is not disclosed</text>
  </threadedComment>
  <threadedComment ref="P242" dT="2025-04-13T18:58:55.29" personId="{38AD1B54-1DAE-4F2A-AEAB-EA488571B049}" id="{0E49BF83-321E-4A50-8AA1-E7AA54FCF4BF}">
    <text>It’s unclear how a ResNet is applied to video modality, which in DAIC-WOZ does not consist of raw video but extracted features</text>
  </threadedComment>
  <threadedComment ref="R242" dT="2025-04-13T19:07:17.06" personId="{38AD1B54-1DAE-4F2A-AEAB-EA488571B049}" id="{498C9FC9-A5A7-4224-B16F-D5EF190BF23C}">
    <text>Some of the hyperparameters are optimized using grid search: „The selection of gamma and cost from the KELM model parameter is made by adopting a grid search technique [...]”, however the best model selection criteria are not disclosed</text>
  </threadedComment>
  <threadedComment ref="U242" dT="2025-04-13T19:14:50.35" personId="{38AD1B54-1DAE-4F2A-AEAB-EA488571B049}" id="{7B53DDEA-4529-4810-A667-A80E6935CBB7}">
    <text>Inconsistencies between table 12 and fig 10. Reported metrics in two places differ by one order of magnitude. Therefore, we do not include these results in our table</text>
  </threadedComment>
  <threadedComment ref="M258" dT="2025-04-13T14:17:09.57" personId="{38AD1B54-1DAE-4F2A-AEAB-EA488571B049}" id="{13E15B68-D8EB-453F-A440-8ADF91D209FE}">
    <text>Described data preprocessing is not applicable to DAIC-WOZ dataset</text>
  </threadedComment>
  <threadedComment ref="Q258" dT="2025-04-13T14:20:29.94" personId="{38AD1B54-1DAE-4F2A-AEAB-EA488571B049}" id="{362F1E12-AE78-415F-A6CC-0AB28016237B}">
    <text>Number of training epochs is not disclosed</text>
  </threadedComment>
  <threadedComment ref="R258" dT="2025-04-13T14:20:53.62" personId="{38AD1B54-1DAE-4F2A-AEAB-EA488571B049}" id="{6431F48F-4542-493A-9EE5-316D908FE3DB}">
    <text>Convergence criteria are not disclosed</text>
  </threadedComment>
  <threadedComment ref="N259" dT="2025-04-11T18:46:10.59" personId="{38AD1B54-1DAE-4F2A-AEAB-EA488571B049}" id="{3E032A8A-B784-48B5-818D-94D4D4B26CD3}">
    <text>Data partitioning is not disclosed</text>
  </threadedComment>
  <threadedComment ref="P259" dT="2025-04-11T19:33:02.45" personId="{38AD1B54-1DAE-4F2A-AEAB-EA488571B049}" id="{52E93B78-620B-48BF-B267-15F47AB8F619}">
    <text>Hyperparameters of the model are not disclosed</text>
  </threadedComment>
  <threadedComment ref="Q259" dT="2025-04-11T19:32:41.30" personId="{38AD1B54-1DAE-4F2A-AEAB-EA488571B049}" id="{74A938EB-68A3-4EE7-A92B-0CEFAABAEF51}">
    <text>Lack of training-related details (number of epochs, learning rate)</text>
  </threadedComment>
  <threadedComment ref="K276" dT="2025-04-01T17:53:32.37" personId="{38AD1B54-1DAE-4F2A-AEAB-EA488571B049}" id="{106E5C7D-D279-41F4-B8E3-B8E09333BA76}">
    <text>Page not exist</text>
  </threadedComment>
  <threadedComment ref="Q318" dT="2025-04-11T20:20:39.40" personId="{38AD1B54-1DAE-4F2A-AEAB-EA488571B049}" id="{4E047EE5-FFE7-4206-9BFC-6B1D09F1CD6E}">
    <text>Optimization method for DCGAN training is not disclosed</text>
  </threadedComment>
  <threadedComment ref="Q338" dT="2025-04-11T20:55:41.26" personId="{38AD1B54-1DAE-4F2A-AEAB-EA488571B049}" id="{0C8FFD74-B105-4CAA-8C87-BA60A96B0B98}">
    <text>SGD training details is not disclosed</text>
  </threadedComment>
  <threadedComment ref="R338" dT="2025-04-11T20:58:23.01" personId="{38AD1B54-1DAE-4F2A-AEAB-EA488571B049}" id="{3508F62D-E515-44FB-8EE2-0878A20159D0}">
    <text>Best model selection criteria are not disclosed</text>
  </threadedComment>
  <threadedComment ref="E347" dT="2025-04-01T17:35:12.20" personId="{38AD1B54-1DAE-4F2A-AEAB-EA488571B049}" id="{9B68B1A4-6F77-4C20-83B9-932BBA13DBFA}">
    <text>Number of papers with no decision provided yet due to the issues with retrieving the document</text>
  </threadedComment>
  <threadedComment ref="G347" dT="2025-04-01T17:36:08.67" personId="{38AD1B54-1DAE-4F2A-AEAB-EA488571B049}" id="{9EE4B5EC-C74D-4ACE-A823-A5A9548E0488}">
    <text xml:space="preserve">Does not regard DAIC-WOZ dataset </text>
  </threadedComment>
  <threadedComment ref="H347" dT="2025-04-01T17:36:25.04" personId="{38AD1B54-1DAE-4F2A-AEAB-EA488571B049}" id="{2A88D3A4-3D01-4A31-9D88-4DB18487C5CC}">
    <text>Does not use Mean Absolute Error 
(MAE) to assess estimation quality</text>
  </threadedComment>
  <threadedComment ref="I347" dT="2025-04-01T17:36:41.08" personId="{38AD1B54-1DAE-4F2A-AEAB-EA488571B049}" id="{DA3EDAE9-AD1D-4518-A404-A0062D753D4F}">
    <text>Does not introduce a new model 
or repurpose an existing model</text>
  </threadedComment>
  <threadedComment ref="J347" dT="2025-04-01T17:36:51.56" personId="{38AD1B54-1DAE-4F2A-AEAB-EA488571B049}" id="{4A25A468-1073-4BD0-9363-2EA8C91917EF}">
    <text>Not in English</text>
  </threadedComment>
  <threadedComment ref="K347" dT="2025-04-01T17:37:40.63" personId="{38AD1B54-1DAE-4F2A-AEAB-EA488571B049}" id="{AEABD4DE-B112-4A6A-9CEE-C655D1C68564}">
    <text>Records not retrieved during full text screening phase</text>
  </threadedComment>
  <threadedComment ref="N347" dT="2025-04-01T17:36:25.04" personId="{38AD1B54-1DAE-4F2A-AEAB-EA488571B049}" id="{F8491903-E287-4F11-BBFA-AC518C5B5DF8}">
    <text>Does not use Mean Absolute Error 
(MAE) to assess estimation quality</text>
  </threadedComment>
  <threadedComment ref="A348" dT="2025-04-01T16:32:55.40" personId="{38AD1B54-1DAE-4F2A-AEAB-EA488571B049}" id="{B371964B-2AAC-4AC9-A5AE-70545583CE99}">
    <text>All of these are different names of the same dataset</text>
  </threadedComment>
  <threadedComment ref="A348" dT="2025-04-01T16:33:19.92" personId="{38AD1B54-1DAE-4F2A-AEAB-EA488571B049}" id="{550DCD05-EE32-4969-B731-28CE09426E01}" parentId="{B371964B-2AAC-4AC9-A5AE-70545583CE99}">
    <text>Other names refer to different datasets which we exclude in this review</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5-04-01T16:29:59.75" personId="{38AD1B54-1DAE-4F2A-AEAB-EA488571B049}" id="{9517F61E-8098-4492-A4F1-E67F7A5866D4}">
    <text xml:space="preserve">Papers for title and abstract screening </text>
  </threadedComment>
  <threadedComment ref="C4" dT="2025-04-01T16:30:25.04" personId="{38AD1B54-1DAE-4F2A-AEAB-EA488571B049}" id="{EF9FE58F-6167-4A1B-B82A-6CBDF41268F5}">
    <text>Papers for full-text screening</text>
  </threadedComment>
  <threadedComment ref="C5" dT="2025-04-01T16:30:43.70" personId="{38AD1B54-1DAE-4F2A-AEAB-EA488571B049}" id="{B42F6DAD-BFC4-408B-92EB-2EE8848EB4FF}">
    <text>Irrelevant title and/or abstract</text>
  </threadedComment>
  <threadedComment ref="D7" dT="2025-09-09T20:06:17.69" personId="{38AD1B54-1DAE-4F2A-AEAB-EA488571B049}" id="{50F4A57F-C039-4279-8DAD-E91E4F6A4CCD}">
    <text>Records not retrieved.</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ieeexplore.ieee.org/abstract/document/10468966/" TargetMode="External"/><Relationship Id="rId299" Type="http://schemas.openxmlformats.org/officeDocument/2006/relationships/hyperlink" Target="https://theses.hal.science/tel-03875860/" TargetMode="External"/><Relationship Id="rId21" Type="http://schemas.openxmlformats.org/officeDocument/2006/relationships/hyperlink" Target="https://doi.org/10.1109/RusAutoCon58002.2023.10272795" TargetMode="External"/><Relationship Id="rId63" Type="http://schemas.openxmlformats.org/officeDocument/2006/relationships/hyperlink" Target="https://doi.org/10.1145/3347320.3357697" TargetMode="External"/><Relationship Id="rId159" Type="http://schemas.openxmlformats.org/officeDocument/2006/relationships/hyperlink" Target="https://theses.hal.science/tel-02122342/" TargetMode="External"/><Relationship Id="rId170" Type="http://schemas.openxmlformats.org/officeDocument/2006/relationships/hyperlink" Target="https://ieeexplore.ieee.org/abstract/document/10467234/" TargetMode="External"/><Relationship Id="rId226" Type="http://schemas.openxmlformats.org/officeDocument/2006/relationships/hyperlink" Target="https://www.mdpi.com/2306-5354/11/3/219" TargetMode="External"/><Relationship Id="rId268" Type="http://schemas.openxmlformats.org/officeDocument/2006/relationships/hyperlink" Target="https://etheses.whiterose.ac.uk/id/eprint/26613/" TargetMode="External"/><Relationship Id="rId32" Type="http://schemas.openxmlformats.org/officeDocument/2006/relationships/hyperlink" Target="https://doi.org/10.1016/S0022-5347(17)38930-9" TargetMode="External"/><Relationship Id="rId74" Type="http://schemas.openxmlformats.org/officeDocument/2006/relationships/hyperlink" Target="https://doi.org/10.1145/1613858.1613956" TargetMode="External"/><Relationship Id="rId128" Type="http://schemas.openxmlformats.org/officeDocument/2006/relationships/hyperlink" Target="https://www.mdpi.com/2076-3417/10/23/8701" TargetMode="External"/><Relationship Id="rId5" Type="http://schemas.openxmlformats.org/officeDocument/2006/relationships/hyperlink" Target="https://doi.org/10.1145/3133944.3133951" TargetMode="External"/><Relationship Id="rId181" Type="http://schemas.openxmlformats.org/officeDocument/2006/relationships/hyperlink" Target="https://search.ebscohost.com/login.aspx?direct=true&amp;profile=ehost&amp;scope=site&amp;authtype=crawler&amp;jrnl=10013695&amp;AN=182318241&amp;h=T8GMeTU1kn81pAfggshwj0wc%2BfBnItKT8YZHeHTQSaZbzXP4CtHlOLU6Skaayi0Q7MM9Gv5yniSjwOlXoyBLKw%3D%3D&amp;crl=c" TargetMode="External"/><Relationship Id="rId237" Type="http://schemas.openxmlformats.org/officeDocument/2006/relationships/hyperlink" Target="https://arxiv.org/abs/2405.20072" TargetMode="External"/><Relationship Id="rId279" Type="http://schemas.openxmlformats.org/officeDocument/2006/relationships/hyperlink" Target="https://search.ebscohost.com/login.aspx?direct=true&amp;profile=ehost&amp;scope=site&amp;authtype=crawler&amp;jrnl=2158107X&amp;AN=178870166&amp;h=z%2Fw2m1o8lL6z4sEcu2cvFLPRv0kychdism3l9btnvRdv7nfZ18Te%2BDpAgEY9xWcQU6MAQmxWbN7zSP7yr%2BDTWQ%3D%3D&amp;crl=c" TargetMode="External"/><Relationship Id="rId43" Type="http://schemas.openxmlformats.org/officeDocument/2006/relationships/hyperlink" Target="https://doi.org/10.3390/diagnostics13040727" TargetMode="External"/><Relationship Id="rId139" Type="http://schemas.openxmlformats.org/officeDocument/2006/relationships/hyperlink" Target="https://ieeexplore.ieee.org/abstract/document/8273643/" TargetMode="External"/><Relationship Id="rId290" Type="http://schemas.openxmlformats.org/officeDocument/2006/relationships/hyperlink" Target="https://inaoe.repositorioinstitucional.mx/jspui/handle/1009/2591" TargetMode="External"/><Relationship Id="rId304" Type="http://schemas.openxmlformats.org/officeDocument/2006/relationships/hyperlink" Target="https://arxiv.org/pdf/1803.10384" TargetMode="External"/><Relationship Id="rId85" Type="http://schemas.openxmlformats.org/officeDocument/2006/relationships/hyperlink" Target="https://ieeexplore.ieee.org/abstract/document/10539130/" TargetMode="External"/><Relationship Id="rId150" Type="http://schemas.openxmlformats.org/officeDocument/2006/relationships/hyperlink" Target="https://www.academia.edu/download/117107610/1911.00310v3.pdf" TargetMode="External"/><Relationship Id="rId192" Type="http://schemas.openxmlformats.org/officeDocument/2006/relationships/hyperlink" Target="https://link.springer.com/article/10.1007/s00138-020-01080-7" TargetMode="External"/><Relationship Id="rId206" Type="http://schemas.openxmlformats.org/officeDocument/2006/relationships/hyperlink" Target="https://search.ebscohost.com/login.aspx?direct=true&amp;profile=ehost&amp;scope=site&amp;authtype=crawler&amp;jrnl=2158107X&amp;AN=177050333&amp;h=bMYaHl167fj1dOWczHYyKpfz4MsNhJLfrzq1%2BMGPOKGnGiF96VltvXjKA9eb8QFDZS5oRyRk26uDNjb%2FXBvAOA%3D%3D&amp;crl=c" TargetMode="External"/><Relationship Id="rId248" Type="http://schemas.openxmlformats.org/officeDocument/2006/relationships/hyperlink" Target="https://dspace.spbu.ru/bitstream/11701/32548/2/reviewSV_Kozlova_review_Petrosyan_OL.pdf" TargetMode="External"/><Relationship Id="rId12" Type="http://schemas.openxmlformats.org/officeDocument/2006/relationships/hyperlink" Target="https://doi.org/10.1016/j.ipm.2024.103830" TargetMode="External"/><Relationship Id="rId108" Type="http://schemas.openxmlformats.org/officeDocument/2006/relationships/hyperlink" Target="https://eprints.whiterose.ac.uk/186629/" TargetMode="External"/><Relationship Id="rId54" Type="http://schemas.openxmlformats.org/officeDocument/2006/relationships/hyperlink" Target="https://doi.org/10.1016/S0022-5347(17)39556-3" TargetMode="External"/><Relationship Id="rId96" Type="http://schemas.openxmlformats.org/officeDocument/2006/relationships/hyperlink" Target="https://studenttheses.uu.nl/bitstream/handle/20.500.12932/46900/Mart_Koek_MSc_thesis.pdf?sequence=1" TargetMode="External"/><Relationship Id="rId161" Type="http://schemas.openxmlformats.org/officeDocument/2006/relationships/hyperlink" Target="https://ieeexplore.ieee.org/abstract/document/10500078/" TargetMode="External"/><Relationship Id="rId217" Type="http://schemas.openxmlformats.org/officeDocument/2006/relationships/hyperlink" Target="https://ieeexplore.ieee.org/abstract/document/9956537/" TargetMode="External"/><Relationship Id="rId259" Type="http://schemas.openxmlformats.org/officeDocument/2006/relationships/hyperlink" Target="https://ieeexplore.ieee.org/abstract/document/10078251/" TargetMode="External"/><Relationship Id="rId23" Type="http://schemas.openxmlformats.org/officeDocument/2006/relationships/hyperlink" Target="https://doi.org/10.1007/s43657-023-00152-8" TargetMode="External"/><Relationship Id="rId119" Type="http://schemas.openxmlformats.org/officeDocument/2006/relationships/hyperlink" Target="https://link.springer.com/chapter/10.1007/978-3-031-25075-0_42" TargetMode="External"/><Relationship Id="rId270" Type="http://schemas.openxmlformats.org/officeDocument/2006/relationships/hyperlink" Target="http://eprints.nottingham.ac.uk/76647/" TargetMode="External"/><Relationship Id="rId291" Type="http://schemas.openxmlformats.org/officeDocument/2006/relationships/hyperlink" Target="https://dr.ntu.edu.sg/handle/10356/159257" TargetMode="External"/><Relationship Id="rId305" Type="http://schemas.openxmlformats.org/officeDocument/2006/relationships/vmlDrawing" Target="../drawings/vmlDrawing1.vml"/><Relationship Id="rId44" Type="http://schemas.openxmlformats.org/officeDocument/2006/relationships/hyperlink" Target="https://doi.org/10.1016/j.asoc.2023.111206" TargetMode="External"/><Relationship Id="rId65" Type="http://schemas.openxmlformats.org/officeDocument/2006/relationships/hyperlink" Target="https://doi.org/10.1145/3347320.3357693" TargetMode="External"/><Relationship Id="rId86" Type="http://schemas.openxmlformats.org/officeDocument/2006/relationships/hyperlink" Target="https://ietresearch.onlinelibrary.wiley.com/doi/abs/10.1049/cit2.12113" TargetMode="External"/><Relationship Id="rId130" Type="http://schemas.openxmlformats.org/officeDocument/2006/relationships/hyperlink" Target="https://ieeexplore.ieee.org/abstract/document/10186888/" TargetMode="External"/><Relationship Id="rId151" Type="http://schemas.openxmlformats.org/officeDocument/2006/relationships/hyperlink" Target="https://search.proquest.com/openview/ae8ec798e6b297aa002de9d2c8a3e73e/1?pq-origsite=gscholar&amp;cbl=2026366&amp;diss=y" TargetMode="External"/><Relationship Id="rId172" Type="http://schemas.openxmlformats.org/officeDocument/2006/relationships/hyperlink" Target="https://ieeexplore.ieee.org/abstract/document/10608486/" TargetMode="External"/><Relationship Id="rId193" Type="http://schemas.openxmlformats.org/officeDocument/2006/relationships/hyperlink" Target="https://ieeexplore.ieee.org/abstract/document/8052569/" TargetMode="External"/><Relationship Id="rId207" Type="http://schemas.openxmlformats.org/officeDocument/2006/relationships/hyperlink" Target="https://arxiv.org/abs/2407.01562" TargetMode="External"/><Relationship Id="rId228" Type="http://schemas.openxmlformats.org/officeDocument/2006/relationships/hyperlink" Target="https://www.authorea.com/doi/pdf/10.22541/au.172474607.71425235" TargetMode="External"/><Relationship Id="rId249" Type="http://schemas.openxmlformats.org/officeDocument/2006/relationships/hyperlink" Target="https://www.techrxiv.org/doi/full/10.36227/techrxiv.171441660.05393293" TargetMode="External"/><Relationship Id="rId13" Type="http://schemas.openxmlformats.org/officeDocument/2006/relationships/hyperlink" Target="https://doi.org/10.1145/3452940.3453038" TargetMode="External"/><Relationship Id="rId109" Type="http://schemas.openxmlformats.org/officeDocument/2006/relationships/hyperlink" Target="https://ieeexplore.ieee.org/abstract/document/10852375/" TargetMode="External"/><Relationship Id="rId260" Type="http://schemas.openxmlformats.org/officeDocument/2006/relationships/hyperlink" Target="https://theses.gla.ac.uk/84055/" TargetMode="External"/><Relationship Id="rId281" Type="http://schemas.openxmlformats.org/officeDocument/2006/relationships/hyperlink" Target="https://www.academia.edu/download/100964433/pdf.pdf" TargetMode="External"/><Relationship Id="rId34" Type="http://schemas.openxmlformats.org/officeDocument/2006/relationships/hyperlink" Target="https://doi.org/10.1016/j.procs.2024.09.522" TargetMode="External"/><Relationship Id="rId55" Type="http://schemas.openxmlformats.org/officeDocument/2006/relationships/hyperlink" Target="https://doi.org/10.1016/B978-0-44-321619-0.00016-9" TargetMode="External"/><Relationship Id="rId76" Type="http://schemas.openxmlformats.org/officeDocument/2006/relationships/hyperlink" Target="https://doi.org/10.1145/2503713.2503731" TargetMode="External"/><Relationship Id="rId97" Type="http://schemas.openxmlformats.org/officeDocument/2006/relationships/hyperlink" Target="https://ieeexplore.ieee.org/abstract/document/9534330/" TargetMode="External"/><Relationship Id="rId120" Type="http://schemas.openxmlformats.org/officeDocument/2006/relationships/hyperlink" Target="https://ieeexplore.ieee.org/abstract/document/9141494/" TargetMode="External"/><Relationship Id="rId141" Type="http://schemas.openxmlformats.org/officeDocument/2006/relationships/hyperlink" Target="https://norma.ncirl.ie/4401/" TargetMode="External"/><Relationship Id="rId7" Type="http://schemas.openxmlformats.org/officeDocument/2006/relationships/hyperlink" Target="https://doi.org/10.1016/j.jad.2024.01.212" TargetMode="External"/><Relationship Id="rId162" Type="http://schemas.openxmlformats.org/officeDocument/2006/relationships/hyperlink" Target="https://ieeexplore.ieee.org/abstract/document/10825184/" TargetMode="External"/><Relationship Id="rId183" Type="http://schemas.openxmlformats.org/officeDocument/2006/relationships/hyperlink" Target="https://arxiv.org/abs/2409.14312" TargetMode="External"/><Relationship Id="rId218" Type="http://schemas.openxmlformats.org/officeDocument/2006/relationships/hyperlink" Target="https://etheses.whiterose.ac.uk/id/eprint/32303/" TargetMode="External"/><Relationship Id="rId239" Type="http://schemas.openxmlformats.org/officeDocument/2006/relationships/hyperlink" Target="https://ieeexplore.ieee.org/abstract/document/10388143/" TargetMode="External"/><Relationship Id="rId250" Type="http://schemas.openxmlformats.org/officeDocument/2006/relationships/hyperlink" Target="https://www.ieice.org/publications/conference-FIT-DVDs/FIT2023/data/html/program/pdf/K-008.pdf" TargetMode="External"/><Relationship Id="rId271" Type="http://schemas.openxmlformats.org/officeDocument/2006/relationships/hyperlink" Target="https://www.researchgate.net/profile/M-Dolores-Gonzalez-2/publication/382778910_A_survey_on_detecting_mental_disorders_with_natural_language_processing_Literature_review_trends_and_challenges/links/670f9a1d24a01038d0f03c4d/A-survey-on-detecting-mental-disorders-with-natural-language-processing-Literature-review-trends-and-challenges.pdf" TargetMode="External"/><Relationship Id="rId292" Type="http://schemas.openxmlformats.org/officeDocument/2006/relationships/hyperlink" Target="https://repositorio.ufpel.edu.br/handle/prefix/10841" TargetMode="External"/><Relationship Id="rId306" Type="http://schemas.openxmlformats.org/officeDocument/2006/relationships/table" Target="../tables/table1.xml"/><Relationship Id="rId24" Type="http://schemas.openxmlformats.org/officeDocument/2006/relationships/hyperlink" Target="https://doi.org/10.1109/ISCSLP57327.2022.10038064" TargetMode="External"/><Relationship Id="rId45" Type="http://schemas.openxmlformats.org/officeDocument/2006/relationships/hyperlink" Target="https://doi.org/10.1016/j.lithos.2011.01.002" TargetMode="External"/><Relationship Id="rId66" Type="http://schemas.openxmlformats.org/officeDocument/2006/relationships/hyperlink" Target="https://doi.org/10.1145/3133944.3133945" TargetMode="External"/><Relationship Id="rId87" Type="http://schemas.openxmlformats.org/officeDocument/2006/relationships/hyperlink" Target="https://books.google.com/books?hl=en&amp;lr=&amp;id=vTMmEQAAQBAJ&amp;oi=fnd&amp;pg=PA293&amp;dq=%22daic+woz%22+%22mae%22&amp;ots=Wck14FZsqN&amp;sig=ZV4eD6MZYXMdzf31omeQCO6DX1w" TargetMode="External"/><Relationship Id="rId110" Type="http://schemas.openxmlformats.org/officeDocument/2006/relationships/hyperlink" Target="https://ieeexplore.ieee.org/abstract/document/10860087/" TargetMode="External"/><Relationship Id="rId131" Type="http://schemas.openxmlformats.org/officeDocument/2006/relationships/hyperlink" Target="https://ieeexplore.ieee.org/abstract/document/9913044/" TargetMode="External"/><Relationship Id="rId152" Type="http://schemas.openxmlformats.org/officeDocument/2006/relationships/hyperlink" Target="https://ieeexplore.ieee.org/abstract/document/8756584/" TargetMode="External"/><Relationship Id="rId173" Type="http://schemas.openxmlformats.org/officeDocument/2006/relationships/hyperlink" Target="https://ieeexplore.ieee.org/abstract/document/9057319/" TargetMode="External"/><Relationship Id="rId194" Type="http://schemas.openxmlformats.org/officeDocument/2006/relationships/hyperlink" Target="https://www.worldscientific.com/doi/abs/10.1142/S0218213023400043" TargetMode="External"/><Relationship Id="rId208" Type="http://schemas.openxmlformats.org/officeDocument/2006/relationships/hyperlink" Target="https://www.sciencedirect.com/science/article/pii/S0885230824000469" TargetMode="External"/><Relationship Id="rId229" Type="http://schemas.openxmlformats.org/officeDocument/2006/relationships/hyperlink" Target="https://arxiv.org/abs/2306.12443" TargetMode="External"/><Relationship Id="rId240" Type="http://schemas.openxmlformats.org/officeDocument/2006/relationships/hyperlink" Target="https://www.tandfonline.com/doi/abs/10.1080/24725579.2018.1496494" TargetMode="External"/><Relationship Id="rId261" Type="http://schemas.openxmlformats.org/officeDocument/2006/relationships/hyperlink" Target="https://jurnal.untan.ac.id/index.php/justin/article/view/86650" TargetMode="External"/><Relationship Id="rId14" Type="http://schemas.openxmlformats.org/officeDocument/2006/relationships/hyperlink" Target="https://doi.org/10.1016/j.neucom.2024.129106" TargetMode="External"/><Relationship Id="rId35" Type="http://schemas.openxmlformats.org/officeDocument/2006/relationships/hyperlink" Target="https://doi.org/10.1016/j.engappai.2023.106661" TargetMode="External"/><Relationship Id="rId56" Type="http://schemas.openxmlformats.org/officeDocument/2006/relationships/hyperlink" Target="https://doi.org/10.1016/j.inffus.2021.10.012" TargetMode="External"/><Relationship Id="rId77" Type="http://schemas.openxmlformats.org/officeDocument/2006/relationships/hyperlink" Target="https://doi.org/10.1145/3015783" TargetMode="External"/><Relationship Id="rId100" Type="http://schemas.openxmlformats.org/officeDocument/2006/relationships/hyperlink" Target="https://arxiv.org/abs/2501.13951" TargetMode="External"/><Relationship Id="rId282" Type="http://schemas.openxmlformats.org/officeDocument/2006/relationships/hyperlink" Target="https://iopscience.iop.org/book/edit/978-0-7503-5346-5/chapter/bk978-0-7503-5346-5ch5" TargetMode="External"/><Relationship Id="rId8" Type="http://schemas.openxmlformats.org/officeDocument/2006/relationships/hyperlink" Target="https://doi.org/10.1016/j.cmpb.2019.01.006" TargetMode="External"/><Relationship Id="rId98" Type="http://schemas.openxmlformats.org/officeDocument/2006/relationships/hyperlink" Target="https://link.springer.com/chapter/10.1007/978-981-97-6103-6_19" TargetMode="External"/><Relationship Id="rId121" Type="http://schemas.openxmlformats.org/officeDocument/2006/relationships/hyperlink" Target="https://www2.eecs.berkeley.edu/Pubs/TechRpts/2022/EECS-2022-255.pdf" TargetMode="External"/><Relationship Id="rId142" Type="http://schemas.openxmlformats.org/officeDocument/2006/relationships/hyperlink" Target="https://search.proquest.com/openview/4689eff848a180162d7137c572bae4fc/1?pq-origsite=gscholar&amp;cbl=2026366&amp;diss=y" TargetMode="External"/><Relationship Id="rId163" Type="http://schemas.openxmlformats.org/officeDocument/2006/relationships/hyperlink" Target="https://arxiv.org/abs/1709.05865" TargetMode="External"/><Relationship Id="rId184" Type="http://schemas.openxmlformats.org/officeDocument/2006/relationships/hyperlink" Target="https://ieeexplore.ieee.org/abstract/document/9979894/" TargetMode="External"/><Relationship Id="rId219" Type="http://schemas.openxmlformats.org/officeDocument/2006/relationships/hyperlink" Target="http://embeddia.eu/wp-content/uploads/EMBEDDIA-D32-InitialCrosslingualCommentAnalysis-T31-submitted.pdf" TargetMode="External"/><Relationship Id="rId230" Type="http://schemas.openxmlformats.org/officeDocument/2006/relationships/hyperlink" Target="https://ia.spcras.ru/index.php/sp/article/view/14930" TargetMode="External"/><Relationship Id="rId251" Type="http://schemas.openxmlformats.org/officeDocument/2006/relationships/hyperlink" Target="https://repository.bilkent.edu.tr/server/api/core/bitstreams/ea890b46-f1ef-4082-8f8c-80b9905ca91f/content" TargetMode="External"/><Relationship Id="rId25" Type="http://schemas.openxmlformats.org/officeDocument/2006/relationships/hyperlink" Target="https://doi.org/10.1109/ICASSP39728.2021.9413486" TargetMode="External"/><Relationship Id="rId46" Type="http://schemas.openxmlformats.org/officeDocument/2006/relationships/hyperlink" Target="https://doi.org/10.1016/S1055-3207(18)30406-X" TargetMode="External"/><Relationship Id="rId67" Type="http://schemas.openxmlformats.org/officeDocument/2006/relationships/hyperlink" Target="https://doi.org/10.1145/3133944.3133953" TargetMode="External"/><Relationship Id="rId272" Type="http://schemas.openxmlformats.org/officeDocument/2006/relationships/hyperlink" Target="https://dissertatsia.ru/uploads/ready-work-files/674886f7ada9c_Magisterskaa_dissertacia_Kozlova_A.O..pdf" TargetMode="External"/><Relationship Id="rId293" Type="http://schemas.openxmlformats.org/officeDocument/2006/relationships/hyperlink" Target="https://digital.lib.washington.edu/researchworks/bitstream/handle/1773/44834/SamarehAbolhasani_washington_0250E_20602.pdf?sequence=1" TargetMode="External"/><Relationship Id="rId307" Type="http://schemas.openxmlformats.org/officeDocument/2006/relationships/comments" Target="../comments1.xml"/><Relationship Id="rId88" Type="http://schemas.openxmlformats.org/officeDocument/2006/relationships/hyperlink" Target="https://theses.hal.science/tel-04785437/" TargetMode="External"/><Relationship Id="rId111" Type="http://schemas.openxmlformats.org/officeDocument/2006/relationships/hyperlink" Target="https://www.mdpi.com/2075-4418/12/11/2683" TargetMode="External"/><Relationship Id="rId132" Type="http://schemas.openxmlformats.org/officeDocument/2006/relationships/hyperlink" Target="https://arxiv.org/abs/2407.16804" TargetMode="External"/><Relationship Id="rId153" Type="http://schemas.openxmlformats.org/officeDocument/2006/relationships/hyperlink" Target="https://kilthub.cmu.edu/ndownloader/files/43913658" TargetMode="External"/><Relationship Id="rId174" Type="http://schemas.openxmlformats.org/officeDocument/2006/relationships/hyperlink" Target="https://ieeexplore.ieee.org/abstract/document/10169520/" TargetMode="External"/><Relationship Id="rId195" Type="http://schemas.openxmlformats.org/officeDocument/2006/relationships/hyperlink" Target="https://www.academia.edu/download/100820447/84221a0d7f4882b480f48a0c32df41907d5f.pdf" TargetMode="External"/><Relationship Id="rId209" Type="http://schemas.openxmlformats.org/officeDocument/2006/relationships/hyperlink" Target="https://dias.users.greyc.fr/publications/cfp2023a.pdf" TargetMode="External"/><Relationship Id="rId220" Type="http://schemas.openxmlformats.org/officeDocument/2006/relationships/hyperlink" Target="https://ieeexplore.ieee.org/abstract/document/8925288/" TargetMode="External"/><Relationship Id="rId241" Type="http://schemas.openxmlformats.org/officeDocument/2006/relationships/hyperlink" Target="https://www.sciencedirect.com/science/article/pii/B9780323911962000168" TargetMode="External"/><Relationship Id="rId15" Type="http://schemas.openxmlformats.org/officeDocument/2006/relationships/hyperlink" Target="https://doi.org/10.1016/j.compbiomed.2024.109325" TargetMode="External"/><Relationship Id="rId36" Type="http://schemas.openxmlformats.org/officeDocument/2006/relationships/hyperlink" Target="https://doi.org/10.1145/3133944.3133950" TargetMode="External"/><Relationship Id="rId57" Type="http://schemas.openxmlformats.org/officeDocument/2006/relationships/hyperlink" Target="https://doi.org/10.1145/3536221.3556606" TargetMode="External"/><Relationship Id="rId262" Type="http://schemas.openxmlformats.org/officeDocument/2006/relationships/hyperlink" Target="https://search.ebscohost.com/login.aspx?direct=true&amp;profile=ehost&amp;scope=site&amp;authtype=crawler&amp;jrnl=07650019&amp;AN=175839348&amp;h=Pf4k5RH5CaWAMBjKEbWD3M%2F7dmekrD76KMdvRYSZkuVXj%2BI%2BH5ufs5GDwS91ph1ErvbxRltutliDfP8%2BoDLAEA%3D%3D&amp;crl=c" TargetMode="External"/><Relationship Id="rId283" Type="http://schemas.openxmlformats.org/officeDocument/2006/relationships/hyperlink" Target="https://ieeexplore.ieee.org/abstract/document/10112572/" TargetMode="External"/><Relationship Id="rId78" Type="http://schemas.openxmlformats.org/officeDocument/2006/relationships/hyperlink" Target="https://doi.org/10.1016/B978-0-12-396490-8.18005-X" TargetMode="External"/><Relationship Id="rId99" Type="http://schemas.openxmlformats.org/officeDocument/2006/relationships/hyperlink" Target="https://search.ebscohost.com/login.aspx?direct=true&amp;profile=ehost&amp;scope=site&amp;authtype=crawler&amp;jrnl=1735188X&amp;AN=161072639&amp;h=%2BufYzECkzG%2F4RTBF9Nsm8fQqe81ebvHBjGMR8Sfm8QOg8GGcAhg%2FaT9OEEsYoci%2B41lKJRIJfK8vGM%2BMH9YZAQ%3D%3D&amp;crl=c" TargetMode="External"/><Relationship Id="rId101" Type="http://schemas.openxmlformats.org/officeDocument/2006/relationships/hyperlink" Target="https://ieeexplore.ieee.org/abstract/document/8910655/" TargetMode="External"/><Relationship Id="rId122" Type="http://schemas.openxmlformats.org/officeDocument/2006/relationships/hyperlink" Target="https://ieeexplore.ieee.org/abstract/document/10516113/" TargetMode="External"/><Relationship Id="rId143" Type="http://schemas.openxmlformats.org/officeDocument/2006/relationships/hyperlink" Target="https://arxiv.org/abs/1904.07656" TargetMode="External"/><Relationship Id="rId164" Type="http://schemas.openxmlformats.org/officeDocument/2006/relationships/hyperlink" Target="https://ieeexplore.ieee.org/abstract/document/8373825/" TargetMode="External"/><Relationship Id="rId185" Type="http://schemas.openxmlformats.org/officeDocument/2006/relationships/hyperlink" Target="https://arxiv.org/abs/2308.01834" TargetMode="External"/><Relationship Id="rId9" Type="http://schemas.openxmlformats.org/officeDocument/2006/relationships/hyperlink" Target="https://doi.org/10.1155/2024/1564574" TargetMode="External"/><Relationship Id="rId210" Type="http://schemas.openxmlformats.org/officeDocument/2006/relationships/hyperlink" Target="https://sentic.net/detecting-signs-of-depression.pdf" TargetMode="External"/><Relationship Id="rId26" Type="http://schemas.openxmlformats.org/officeDocument/2006/relationships/hyperlink" Target="https://doi.org/10.1016/j.pmip.2024.100125" TargetMode="External"/><Relationship Id="rId231" Type="http://schemas.openxmlformats.org/officeDocument/2006/relationships/hyperlink" Target="https://theses.gla.ac.uk/83883/" TargetMode="External"/><Relationship Id="rId252" Type="http://schemas.openxmlformats.org/officeDocument/2006/relationships/hyperlink" Target="https://journal-vniispk.ru/2713-3192" TargetMode="External"/><Relationship Id="rId273" Type="http://schemas.openxmlformats.org/officeDocument/2006/relationships/hyperlink" Target="https://search.ebscohost.com/login.aspx?direct=true&amp;profile=ehost&amp;scope=site&amp;authtype=crawler&amp;jrnl=20329407&amp;AN=182131321&amp;h=CYqEbu4r9U1owjtgaUBpF6dBgSFK%2FwIrlRcheoU94ZOmXULq2FMTNmgMgW0JJdt8vBZUzBNph3droxPFEnMhIw%3D%3D&amp;crl=c" TargetMode="External"/><Relationship Id="rId294" Type="http://schemas.openxmlformats.org/officeDocument/2006/relationships/hyperlink" Target="https://link.springer.com/content/pdf/10.1007/978-3-658-28674-3.pdf" TargetMode="External"/><Relationship Id="rId308" Type="http://schemas.microsoft.com/office/2017/10/relationships/threadedComment" Target="../threadedComments/threadedComment1.xml"/><Relationship Id="rId47" Type="http://schemas.openxmlformats.org/officeDocument/2006/relationships/hyperlink" Target="https://doi.org/10.1016/j.ijcce.2024.07.002" TargetMode="External"/><Relationship Id="rId68" Type="http://schemas.openxmlformats.org/officeDocument/2006/relationships/hyperlink" Target="https://doi.org/10.1145/3132525.3134817" TargetMode="External"/><Relationship Id="rId89" Type="http://schemas.openxmlformats.org/officeDocument/2006/relationships/hyperlink" Target="https://arxiv.org/abs/2410.18298" TargetMode="External"/><Relationship Id="rId112" Type="http://schemas.openxmlformats.org/officeDocument/2006/relationships/hyperlink" Target="https://ieeexplore.ieee.org/abstract/document/10120969/" TargetMode="External"/><Relationship Id="rId133" Type="http://schemas.openxmlformats.org/officeDocument/2006/relationships/hyperlink" Target="https://ieeexplore.ieee.org/abstract/document/9723273/" TargetMode="External"/><Relationship Id="rId154" Type="http://schemas.openxmlformats.org/officeDocument/2006/relationships/hyperlink" Target="https://www.academia.edu/download/117378214/18329.pdf" TargetMode="External"/><Relationship Id="rId175" Type="http://schemas.openxmlformats.org/officeDocument/2006/relationships/hyperlink" Target="https://onlinelibrary.wiley.com/doi/abs/10.1002/da.23020" TargetMode="External"/><Relationship Id="rId196" Type="http://schemas.openxmlformats.org/officeDocument/2006/relationships/hyperlink" Target="https://repositories.nust.edu.pk/xmlui/handle/123456789/27578" TargetMode="External"/><Relationship Id="rId200" Type="http://schemas.openxmlformats.org/officeDocument/2006/relationships/hyperlink" Target="https://link.springer.com/article/10.1007/s11042-023-14351-y" TargetMode="External"/><Relationship Id="rId16" Type="http://schemas.openxmlformats.org/officeDocument/2006/relationships/hyperlink" Target="https://doi.org/10.1016/j.bspc.2022.104561" TargetMode="External"/><Relationship Id="rId221" Type="http://schemas.openxmlformats.org/officeDocument/2006/relationships/hyperlink" Target="https://www.frontiersin.org/journals/psychiatry/articles/10.3389/fpsyt.2024.1417253/full" TargetMode="External"/><Relationship Id="rId242" Type="http://schemas.openxmlformats.org/officeDocument/2006/relationships/hyperlink" Target="https://link.springer.com/chapter/10.1007/978-3-031-20541-5_6" TargetMode="External"/><Relationship Id="rId263" Type="http://schemas.openxmlformats.org/officeDocument/2006/relationships/hyperlink" Target="https://oulurepo.oulu.fi/handle/10024/36921" TargetMode="External"/><Relationship Id="rId284" Type="http://schemas.openxmlformats.org/officeDocument/2006/relationships/hyperlink" Target="https://era.library.ualberta.ca/items/ee894dec-687c-4d8e-a304-17872305c567" TargetMode="External"/><Relationship Id="rId37" Type="http://schemas.openxmlformats.org/officeDocument/2006/relationships/hyperlink" Target="https://doi.org/10.1109/IC2IE60547.2023.10331094" TargetMode="External"/><Relationship Id="rId58" Type="http://schemas.openxmlformats.org/officeDocument/2006/relationships/hyperlink" Target="https://doi.org/10.1145/2988257.2988269" TargetMode="External"/><Relationship Id="rId79" Type="http://schemas.openxmlformats.org/officeDocument/2006/relationships/hyperlink" Target="https://doi.org/10.1016/S0022-5347(17)54783-7" TargetMode="External"/><Relationship Id="rId102" Type="http://schemas.openxmlformats.org/officeDocument/2006/relationships/hyperlink" Target="https://ieeexplore.ieee.org/abstract/document/10419326/" TargetMode="External"/><Relationship Id="rId123" Type="http://schemas.openxmlformats.org/officeDocument/2006/relationships/hyperlink" Target="https://www.publications.scrs.in/uploads/final_menuscript/26830473c98319e46c72dcf9893a3c43.pdf" TargetMode="External"/><Relationship Id="rId144" Type="http://schemas.openxmlformats.org/officeDocument/2006/relationships/hyperlink" Target="https://ieeexplore.ieee.org/abstract/document/9102872/" TargetMode="External"/><Relationship Id="rId90" Type="http://schemas.openxmlformats.org/officeDocument/2006/relationships/hyperlink" Target="https://plantprotect.ru/index.php/sp/article/view/16527" TargetMode="External"/><Relationship Id="rId165" Type="http://schemas.openxmlformats.org/officeDocument/2006/relationships/hyperlink" Target="https://dias.users.greyc.fr/publications/cfp2023b.pdf" TargetMode="External"/><Relationship Id="rId186" Type="http://schemas.openxmlformats.org/officeDocument/2006/relationships/hyperlink" Target="https://ieeexplore.ieee.org/abstract/document/10388118/" TargetMode="External"/><Relationship Id="rId211" Type="http://schemas.openxmlformats.org/officeDocument/2006/relationships/hyperlink" Target="https://ieeexplore.ieee.org/abstract/document/9914245/" TargetMode="External"/><Relationship Id="rId232" Type="http://schemas.openxmlformats.org/officeDocument/2006/relationships/hyperlink" Target="https://ieeexplore.ieee.org/abstract/document/9786615/" TargetMode="External"/><Relationship Id="rId253" Type="http://schemas.openxmlformats.org/officeDocument/2006/relationships/hyperlink" Target="https://arxiv.org/abs/2403.15401" TargetMode="External"/><Relationship Id="rId274" Type="http://schemas.openxmlformats.org/officeDocument/2006/relationships/hyperlink" Target="https://era.library.ualberta.ca/items/06132c9c-d8a3-4135-a1b2-6dd369b40c6f" TargetMode="External"/><Relationship Id="rId295" Type="http://schemas.openxmlformats.org/officeDocument/2006/relationships/hyperlink" Target="https://www.cambridge.org/core/journals/psychological-medicine/article/artificial-intelligence-in-mental-health-care-a-systematic-review-of-diagnosis-monitoring-and-intervention-applications/04DBD2D05976C9B1873B475018695418" TargetMode="External"/><Relationship Id="rId27" Type="http://schemas.openxmlformats.org/officeDocument/2006/relationships/hyperlink" Target="https://doi.org/10.1016/j.inffus.2024.102861" TargetMode="External"/><Relationship Id="rId48" Type="http://schemas.openxmlformats.org/officeDocument/2006/relationships/hyperlink" Target="https://doi.org/10.1016/B978-0-323-85769-7.00010-0" TargetMode="External"/><Relationship Id="rId69" Type="http://schemas.openxmlformats.org/officeDocument/2006/relationships/hyperlink" Target="https://doi.org/10.1145/2988257.2988258" TargetMode="External"/><Relationship Id="rId113" Type="http://schemas.openxmlformats.org/officeDocument/2006/relationships/hyperlink" Target="https://link.springer.com/article/10.1007/s10742-024-00329-2" TargetMode="External"/><Relationship Id="rId134" Type="http://schemas.openxmlformats.org/officeDocument/2006/relationships/hyperlink" Target="https://ieeexplore.ieee.org/abstract/document/10851289/" TargetMode="External"/><Relationship Id="rId80" Type="http://schemas.openxmlformats.org/officeDocument/2006/relationships/hyperlink" Target="https://doi.org/10.1016/0024-3841(82)90026-2" TargetMode="External"/><Relationship Id="rId155" Type="http://schemas.openxmlformats.org/officeDocument/2006/relationships/hyperlink" Target="https://ieeexplore.ieee.org/abstract/document/9951984/" TargetMode="External"/><Relationship Id="rId176" Type="http://schemas.openxmlformats.org/officeDocument/2006/relationships/hyperlink" Target="https://ieeexplore.ieee.org/abstract/document/10690434/" TargetMode="External"/><Relationship Id="rId197" Type="http://schemas.openxmlformats.org/officeDocument/2006/relationships/hyperlink" Target="https://ieeexplore.ieee.org/abstract/document/10386595/" TargetMode="External"/><Relationship Id="rId201" Type="http://schemas.openxmlformats.org/officeDocument/2006/relationships/hyperlink" Target="https://ceur-ws.org/Vol-3649/Paper22.pdf" TargetMode="External"/><Relationship Id="rId222" Type="http://schemas.openxmlformats.org/officeDocument/2006/relationships/hyperlink" Target="https://ieeexplore.ieee.org/abstract/document/10263141/" TargetMode="External"/><Relationship Id="rId243" Type="http://schemas.openxmlformats.org/officeDocument/2006/relationships/hyperlink" Target="https://ieeexplore.ieee.org/abstract/document/9828962/" TargetMode="External"/><Relationship Id="rId264" Type="http://schemas.openxmlformats.org/officeDocument/2006/relationships/hyperlink" Target="https://papers.ssrn.com/sol3/papers.cfm?abstract_id=4951519" TargetMode="External"/><Relationship Id="rId285" Type="http://schemas.openxmlformats.org/officeDocument/2006/relationships/hyperlink" Target="https://books.google.com/books?hl=en&amp;lr=&amp;id=aRDADwAAQBAJ&amp;oi=fnd&amp;pg=PR5&amp;dq=%22daic+woz%22+%22mae%22&amp;ots=aSXazhy972&amp;sig=4-v390g8edYOiey9BwNGu0PFPPA" TargetMode="External"/><Relationship Id="rId17" Type="http://schemas.openxmlformats.org/officeDocument/2006/relationships/hyperlink" Target="https://doi.org/10.1109/BHI58575.2023.10313367" TargetMode="External"/><Relationship Id="rId38" Type="http://schemas.openxmlformats.org/officeDocument/2006/relationships/hyperlink" Target="https://doi.org/10.1186/s40708-023-00185-9" TargetMode="External"/><Relationship Id="rId59" Type="http://schemas.openxmlformats.org/officeDocument/2006/relationships/hyperlink" Target="https://doi.org/10.1145/3133944.3133948" TargetMode="External"/><Relationship Id="rId103" Type="http://schemas.openxmlformats.org/officeDocument/2006/relationships/hyperlink" Target="https://pubs.aip.org/aip/acp/article-abstract/3030/1/030001/3272433" TargetMode="External"/><Relationship Id="rId124" Type="http://schemas.openxmlformats.org/officeDocument/2006/relationships/hyperlink" Target="https://ieeexplore.ieee.org/abstract/document/10690712/" TargetMode="External"/><Relationship Id="rId70" Type="http://schemas.openxmlformats.org/officeDocument/2006/relationships/hyperlink" Target="https://doi.org/10.1145/3398069" TargetMode="External"/><Relationship Id="rId91" Type="http://schemas.openxmlformats.org/officeDocument/2006/relationships/hyperlink" Target="https://aclanthology.org/2024.lrec-main.87/" TargetMode="External"/><Relationship Id="rId145" Type="http://schemas.openxmlformats.org/officeDocument/2006/relationships/hyperlink" Target="https://ieeexplore.ieee.org/abstract/document/10334183/" TargetMode="External"/><Relationship Id="rId166" Type="http://schemas.openxmlformats.org/officeDocument/2006/relationships/hyperlink" Target="https://link.springer.com/chapter/10.1007/978-3-030-34869-4_3" TargetMode="External"/><Relationship Id="rId187" Type="http://schemas.openxmlformats.org/officeDocument/2006/relationships/hyperlink" Target="https://ieeexplore.ieee.org/abstract/document/9793717/" TargetMode="External"/><Relationship Id="rId1" Type="http://schemas.openxmlformats.org/officeDocument/2006/relationships/hyperlink" Target="https://doi.org/10.1109/ICASSP40776.2020.9053207" TargetMode="External"/><Relationship Id="rId212" Type="http://schemas.openxmlformats.org/officeDocument/2006/relationships/hyperlink" Target="https://www.frontiersin.org/journals/psychiatry/articles/10.3389/fpsyt.2024.1466507/full" TargetMode="External"/><Relationship Id="rId233" Type="http://schemas.openxmlformats.org/officeDocument/2006/relationships/hyperlink" Target="https://books.google.com/books?hl=en&amp;lr=&amp;id=Dew8EQAAQBAJ&amp;oi=fnd&amp;pg=PA1&amp;dq=%22daic+woz%22+%22mae%22&amp;ots=B8jrEhu5KN&amp;sig=ylBsfZqooT-lhLO1PnEdV4Cly-w" TargetMode="External"/><Relationship Id="rId254" Type="http://schemas.openxmlformats.org/officeDocument/2006/relationships/hyperlink" Target="https://ieeexplore.ieee.org/abstract/document/10510550/" TargetMode="External"/><Relationship Id="rId28" Type="http://schemas.openxmlformats.org/officeDocument/2006/relationships/hyperlink" Target="https://doi.org/10.1016/j.im.2020.103349" TargetMode="External"/><Relationship Id="rId49" Type="http://schemas.openxmlformats.org/officeDocument/2006/relationships/hyperlink" Target="https://doi.org/10.1016/S0169-1317(96)00033-6" TargetMode="External"/><Relationship Id="rId114" Type="http://schemas.openxmlformats.org/officeDocument/2006/relationships/hyperlink" Target="https://link.springer.com/chapter/10.1007/978-3-031-72353-7_5" TargetMode="External"/><Relationship Id="rId275" Type="http://schemas.openxmlformats.org/officeDocument/2006/relationships/hyperlink" Target="https://www.techrxiv.org/doi/full/10.36227/techrxiv.17" TargetMode="External"/><Relationship Id="rId296" Type="http://schemas.openxmlformats.org/officeDocument/2006/relationships/hyperlink" Target="https://orca.cardiff.ac.uk/id/eprint/122408/" TargetMode="External"/><Relationship Id="rId300" Type="http://schemas.openxmlformats.org/officeDocument/2006/relationships/hyperlink" Target="https://dspace.lib.ntua.gr/xmlui/bitstream/handle/123456789/55587/depression_detection_from_social_media_posts.pdf?sequence=1" TargetMode="External"/><Relationship Id="rId60" Type="http://schemas.openxmlformats.org/officeDocument/2006/relationships/hyperlink" Target="https://doi.org/10.1145/3133944.3133947" TargetMode="External"/><Relationship Id="rId81" Type="http://schemas.openxmlformats.org/officeDocument/2006/relationships/hyperlink" Target="https://doi.org/10.1016/0029-5493(91)90266-K" TargetMode="External"/><Relationship Id="rId135" Type="http://schemas.openxmlformats.org/officeDocument/2006/relationships/hyperlink" Target="https://dione.lib.unipi.gr/xmlui/handle/unipi/14789" TargetMode="External"/><Relationship Id="rId156" Type="http://schemas.openxmlformats.org/officeDocument/2006/relationships/hyperlink" Target="https://scik.org/index.php/cmbn/article/view/7916" TargetMode="External"/><Relationship Id="rId177" Type="http://schemas.openxmlformats.org/officeDocument/2006/relationships/hyperlink" Target="https://ieeexplore.ieee.org/abstract/document/10176040/" TargetMode="External"/><Relationship Id="rId198" Type="http://schemas.openxmlformats.org/officeDocument/2006/relationships/hyperlink" Target="https://ieeexplore.ieee.org/abstract/document/10767298/" TargetMode="External"/><Relationship Id="rId202" Type="http://schemas.openxmlformats.org/officeDocument/2006/relationships/hyperlink" Target="https://ieeexplore.ieee.org/abstract/document/9747292/" TargetMode="External"/><Relationship Id="rId223" Type="http://schemas.openxmlformats.org/officeDocument/2006/relationships/hyperlink" Target="https://www.mdpi.com/2075-4418/14/21/2385" TargetMode="External"/><Relationship Id="rId244" Type="http://schemas.openxmlformats.org/officeDocument/2006/relationships/hyperlink" Target="https://www.mdpi.com/2076-3417/12/18/9150" TargetMode="External"/><Relationship Id="rId18" Type="http://schemas.openxmlformats.org/officeDocument/2006/relationships/hyperlink" Target="https://doi.org/10.1109/NILES63360.2024.10753199" TargetMode="External"/><Relationship Id="rId39" Type="http://schemas.openxmlformats.org/officeDocument/2006/relationships/hyperlink" Target="https://doi.org/10.1016/j.cviu.2022.103438" TargetMode="External"/><Relationship Id="rId265" Type="http://schemas.openxmlformats.org/officeDocument/2006/relationships/hyperlink" Target="https://www.repository.cam.ac.uk/items/04b5f922-bc7d-4b2e-b4ad-2950831b7fc8" TargetMode="External"/><Relationship Id="rId286" Type="http://schemas.openxmlformats.org/officeDocument/2006/relationships/hyperlink" Target="https://qmro.qmul.ac.uk/xmlui/handle/123456789/83537" TargetMode="External"/><Relationship Id="rId50" Type="http://schemas.openxmlformats.org/officeDocument/2006/relationships/hyperlink" Target="https://doi.org/10.1109/ACCESS.2020.2998532" TargetMode="External"/><Relationship Id="rId104" Type="http://schemas.openxmlformats.org/officeDocument/2006/relationships/hyperlink" Target="https://search.proquest.com/openview/16dccfaf495856185af130cde1c6959d/1?pq-origsite=gscholar&amp;cbl=18750&amp;diss=y" TargetMode="External"/><Relationship Id="rId125" Type="http://schemas.openxmlformats.org/officeDocument/2006/relationships/hyperlink" Target="https://www.researchgate.net/profile/Nejc-Plohl/publication/365097413_Scoping_Review_on_the_Multimodal_Classification_of_Depression_and_Experimental_Study_on_Existing_Multimodal_Models/links/6364c3f354eb5f547ca0712b/Scoping-Review-on-the-Multimodal-Classification-of-Depression-and-Experimental-Study-on-Existing-Multimodal-Models.pdf" TargetMode="External"/><Relationship Id="rId146" Type="http://schemas.openxmlformats.org/officeDocument/2006/relationships/hyperlink" Target="https://www.researchgate.net/profile/Bens-Pardamean/publication/389068508_Depression_detection_through_transformers-based_emotion_recognition_in_multivariate_time_series_facial_data/links/67b3e4e58311ce680c671eec/Depression-detection-through-transformers-based-emotion-recognition-in-multivariate-time-series-facial-data.pdf" TargetMode="External"/><Relationship Id="rId167" Type="http://schemas.openxmlformats.org/officeDocument/2006/relationships/hyperlink" Target="https://link.springer.com/chapter/10.1007/978-3-031-20500-2_30" TargetMode="External"/><Relationship Id="rId188" Type="http://schemas.openxmlformats.org/officeDocument/2006/relationships/hyperlink" Target="https://ieeexplore.ieee.org/abstract/document/10442235/" TargetMode="External"/><Relationship Id="rId71" Type="http://schemas.openxmlformats.org/officeDocument/2006/relationships/hyperlink" Target="https://doi.org/10.1145/3411764.3445673" TargetMode="External"/><Relationship Id="rId92" Type="http://schemas.openxmlformats.org/officeDocument/2006/relationships/hyperlink" Target="https://arxiv.org/abs/2404.19359" TargetMode="External"/><Relationship Id="rId213" Type="http://schemas.openxmlformats.org/officeDocument/2006/relationships/hyperlink" Target="https://arxiv.org/abs/2410.16322" TargetMode="External"/><Relationship Id="rId234" Type="http://schemas.openxmlformats.org/officeDocument/2006/relationships/hyperlink" Target="https://hal.science/hal-01838695v1/file/CNIA%2BRJCIA2018.pdf" TargetMode="External"/><Relationship Id="rId2" Type="http://schemas.openxmlformats.org/officeDocument/2006/relationships/hyperlink" Target="https://doi.org/10.1016/j.knosys.2024.111951" TargetMode="External"/><Relationship Id="rId29" Type="http://schemas.openxmlformats.org/officeDocument/2006/relationships/hyperlink" Target="https://doi.org/10.1016/j.procs.2019.12.228" TargetMode="External"/><Relationship Id="rId255" Type="http://schemas.openxmlformats.org/officeDocument/2006/relationships/hyperlink" Target="https://ieeexplore.ieee.org/abstract/document/10214293/" TargetMode="External"/><Relationship Id="rId276" Type="http://schemas.openxmlformats.org/officeDocument/2006/relationships/hyperlink" Target="https://ieeexplore.ieee.org/abstract/document/8976082/" TargetMode="External"/><Relationship Id="rId297" Type="http://schemas.openxmlformats.org/officeDocument/2006/relationships/hyperlink" Target="https://link.springer.com/chapter/10.1007/978-981-19-5272-2_7" TargetMode="External"/><Relationship Id="rId40" Type="http://schemas.openxmlformats.org/officeDocument/2006/relationships/hyperlink" Target="https://doi.org/10.1016/B978-0-323-91196-2.00016-8" TargetMode="External"/><Relationship Id="rId115" Type="http://schemas.openxmlformats.org/officeDocument/2006/relationships/hyperlink" Target="https://digital.wpi.edu/downloads/c821gn04q" TargetMode="External"/><Relationship Id="rId136" Type="http://schemas.openxmlformats.org/officeDocument/2006/relationships/hyperlink" Target="https://pmc.ncbi.nlm.nih.gov/articles/PMC10921287/" TargetMode="External"/><Relationship Id="rId157" Type="http://schemas.openxmlformats.org/officeDocument/2006/relationships/hyperlink" Target="https://arxiv.org/abs/2407.06125" TargetMode="External"/><Relationship Id="rId178" Type="http://schemas.openxmlformats.org/officeDocument/2006/relationships/hyperlink" Target="https://onlinelibrary.wiley.com/doi/abs/10.1002/cpe.7407" TargetMode="External"/><Relationship Id="rId301" Type="http://schemas.openxmlformats.org/officeDocument/2006/relationships/hyperlink" Target="https://search.proquest.com/openview/502ebe5d374249da2f33c51a270582c6/1?pq-origsite=gscholar&amp;cbl=2026366&amp;diss=y" TargetMode="External"/><Relationship Id="rId61" Type="http://schemas.openxmlformats.org/officeDocument/2006/relationships/hyperlink" Target="https://doi.org/10.1145/2988257.2988263" TargetMode="External"/><Relationship Id="rId82" Type="http://schemas.openxmlformats.org/officeDocument/2006/relationships/hyperlink" Target="https://doi.org/10.1016/0005-2787(65)90606-4" TargetMode="External"/><Relationship Id="rId199" Type="http://schemas.openxmlformats.org/officeDocument/2006/relationships/hyperlink" Target="https://ieeexplore.ieee.org/abstract/document/10069386/" TargetMode="External"/><Relationship Id="rId203" Type="http://schemas.openxmlformats.org/officeDocument/2006/relationships/hyperlink" Target="https://www.nature.com/articles/s44184-024-00112-8" TargetMode="External"/><Relationship Id="rId19" Type="http://schemas.openxmlformats.org/officeDocument/2006/relationships/hyperlink" Target="https://doi.org/10.15622/ia.23.6.7" TargetMode="External"/><Relationship Id="rId224" Type="http://schemas.openxmlformats.org/officeDocument/2006/relationships/hyperlink" Target="https://ieeexplore.ieee.org/abstract/document/9187982/" TargetMode="External"/><Relationship Id="rId245" Type="http://schemas.openxmlformats.org/officeDocument/2006/relationships/hyperlink" Target="https://ieeexplore.ieee.org/abstract/document/10387166/" TargetMode="External"/><Relationship Id="rId266" Type="http://schemas.openxmlformats.org/officeDocument/2006/relationships/hyperlink" Target="https://www.mdpi.com/2079-9292/11/7/1111" TargetMode="External"/><Relationship Id="rId287" Type="http://schemas.openxmlformats.org/officeDocument/2006/relationships/hyperlink" Target="https://www.researchgate.net/profile/Sowhardh-Honnappa-2/publication/377300872_Automated_Mental_Illness_Analysis_Using_Voice_Samples/links/659f148340ce1c5902d3bfc4/Automated-Mental-Illness-Analysis-Using-Voice-Samples.pdf" TargetMode="External"/><Relationship Id="rId30" Type="http://schemas.openxmlformats.org/officeDocument/2006/relationships/hyperlink" Target="https://doi.org/10.1016/j.neucom.2021.02.019" TargetMode="External"/><Relationship Id="rId105" Type="http://schemas.openxmlformats.org/officeDocument/2006/relationships/hyperlink" Target="https://arxiv.org/abs/2404.05071" TargetMode="External"/><Relationship Id="rId126" Type="http://schemas.openxmlformats.org/officeDocument/2006/relationships/hyperlink" Target="https://ieeexplore.ieee.org/abstract/document/9871556/" TargetMode="External"/><Relationship Id="rId147" Type="http://schemas.openxmlformats.org/officeDocument/2006/relationships/hyperlink" Target="https://arxiv.org/abs/2408.04026" TargetMode="External"/><Relationship Id="rId168" Type="http://schemas.openxmlformats.org/officeDocument/2006/relationships/hyperlink" Target="https://arxiv.org/abs/2411.17672" TargetMode="External"/><Relationship Id="rId51" Type="http://schemas.openxmlformats.org/officeDocument/2006/relationships/hyperlink" Target="https://doi.org/10.1109/CogMI62246.2024.00030" TargetMode="External"/><Relationship Id="rId72" Type="http://schemas.openxmlformats.org/officeDocument/2006/relationships/hyperlink" Target="https://doi.org/10.1145/3514094.3534162" TargetMode="External"/><Relationship Id="rId93" Type="http://schemas.openxmlformats.org/officeDocument/2006/relationships/hyperlink" Target="https://ieeexplore.ieee.org/abstract/document/8910358/" TargetMode="External"/><Relationship Id="rId189" Type="http://schemas.openxmlformats.org/officeDocument/2006/relationships/hyperlink" Target="https://pdfs.semanticscholar.org/023f/954745e84062c6190f08c9a250fab446fa35.pdf" TargetMode="External"/><Relationship Id="rId3" Type="http://schemas.openxmlformats.org/officeDocument/2006/relationships/hyperlink" Target="https://doi.org/10.1016/0029-5493(91)90270-R" TargetMode="External"/><Relationship Id="rId214" Type="http://schemas.openxmlformats.org/officeDocument/2006/relationships/hyperlink" Target="https://pdfs.semanticscholar.org/1a15/65c55fc22b685415a696ed46756c2b65d990.pdf" TargetMode="External"/><Relationship Id="rId235" Type="http://schemas.openxmlformats.org/officeDocument/2006/relationships/hyperlink" Target="https://iiis.journals.ekb.eg/article_342001.html?trk=public_post_comment-text" TargetMode="External"/><Relationship Id="rId256" Type="http://schemas.openxmlformats.org/officeDocument/2006/relationships/hyperlink" Target="https://arxiv.org/abs/2410.11859" TargetMode="External"/><Relationship Id="rId277" Type="http://schemas.openxmlformats.org/officeDocument/2006/relationships/hyperlink" Target="https://arxiv.org/abs/2409.15687" TargetMode="External"/><Relationship Id="rId298" Type="http://schemas.openxmlformats.org/officeDocument/2006/relationships/hyperlink" Target="https://repositorioinstitucional.buap.mx/items/f34ee321-9bce-400c-a256-c41c786a56df" TargetMode="External"/><Relationship Id="rId116" Type="http://schemas.openxmlformats.org/officeDocument/2006/relationships/hyperlink" Target="https://arxiv.org/abs/1904.05154" TargetMode="External"/><Relationship Id="rId137" Type="http://schemas.openxmlformats.org/officeDocument/2006/relationships/hyperlink" Target="https://ieeexplore.ieee.org/abstract/document/10331448/" TargetMode="External"/><Relationship Id="rId158" Type="http://schemas.openxmlformats.org/officeDocument/2006/relationships/hyperlink" Target="https://ieeexplore.ieee.org/abstract/document/9318302/" TargetMode="External"/><Relationship Id="rId302" Type="http://schemas.openxmlformats.org/officeDocument/2006/relationships/hyperlink" Target="https://arxiv.org/abs/2502.18791" TargetMode="External"/><Relationship Id="rId20" Type="http://schemas.openxmlformats.org/officeDocument/2006/relationships/hyperlink" Target="https://doi.org/10.1109/PRML59573.2023.10348319" TargetMode="External"/><Relationship Id="rId41" Type="http://schemas.openxmlformats.org/officeDocument/2006/relationships/hyperlink" Target="https://doi.org/10.1016/j.is.2010.09.001" TargetMode="External"/><Relationship Id="rId62" Type="http://schemas.openxmlformats.org/officeDocument/2006/relationships/hyperlink" Target="https://doi.org/10.1145/3347320.3357695" TargetMode="External"/><Relationship Id="rId83" Type="http://schemas.openxmlformats.org/officeDocument/2006/relationships/hyperlink" Target="https://doi.org/10.1016/B978-0-44-321619-0.00019-4" TargetMode="External"/><Relationship Id="rId179" Type="http://schemas.openxmlformats.org/officeDocument/2006/relationships/hyperlink" Target="https://www.mdpi.com/2227-9032/11/3/285" TargetMode="External"/><Relationship Id="rId190" Type="http://schemas.openxmlformats.org/officeDocument/2006/relationships/hyperlink" Target="https://ieeexplore.ieee.org/abstract/document/10617226/" TargetMode="External"/><Relationship Id="rId204" Type="http://schemas.openxmlformats.org/officeDocument/2006/relationships/hyperlink" Target="https://arxiv.org/abs/2412.10417" TargetMode="External"/><Relationship Id="rId225" Type="http://schemas.openxmlformats.org/officeDocument/2006/relationships/hyperlink" Target="https://cyberleninka.ru/article/n/a-review-on-machine-learning-approaches-for-the-detection-of-suicidal-tendencies" TargetMode="External"/><Relationship Id="rId246" Type="http://schemas.openxmlformats.org/officeDocument/2006/relationships/hyperlink" Target="https://ruor.uottawa.ca/handle/10393/43014" TargetMode="External"/><Relationship Id="rId267" Type="http://schemas.openxmlformats.org/officeDocument/2006/relationships/hyperlink" Target="https://dspace.bracu.ac.bd/xmlui/handle/10361/24346" TargetMode="External"/><Relationship Id="rId288" Type="http://schemas.openxmlformats.org/officeDocument/2006/relationships/hyperlink" Target="https://estudogeral.uc.pt/handle/10316/107772" TargetMode="External"/><Relationship Id="rId106" Type="http://schemas.openxmlformats.org/officeDocument/2006/relationships/hyperlink" Target="https://link.springer.com/article/10.1007/s11042-023-18076-w" TargetMode="External"/><Relationship Id="rId127" Type="http://schemas.openxmlformats.org/officeDocument/2006/relationships/hyperlink" Target="https://www.researchsquare.com/article/rs-2782391/latest" TargetMode="External"/><Relationship Id="rId10" Type="http://schemas.openxmlformats.org/officeDocument/2006/relationships/hyperlink" Target="https://doi.org/10.1016/j.jad.2021.09.001" TargetMode="External"/><Relationship Id="rId31" Type="http://schemas.openxmlformats.org/officeDocument/2006/relationships/hyperlink" Target="https://doi.org/10.1016/j.cosrev.2024.100654" TargetMode="External"/><Relationship Id="rId52" Type="http://schemas.openxmlformats.org/officeDocument/2006/relationships/hyperlink" Target="https://doi.org/10.1016/j.chb.2016.03.057" TargetMode="External"/><Relationship Id="rId73" Type="http://schemas.openxmlformats.org/officeDocument/2006/relationships/hyperlink" Target="https://doi.org/10.1145/2988257.2988261" TargetMode="External"/><Relationship Id="rId94" Type="http://schemas.openxmlformats.org/officeDocument/2006/relationships/hyperlink" Target="https://vital.lib.tsu.ru/vital/access/services/Download/koha:001146787/SOURCE1" TargetMode="External"/><Relationship Id="rId148" Type="http://schemas.openxmlformats.org/officeDocument/2006/relationships/hyperlink" Target="https://www.academia.edu/download/117107606/1911.00310v1.pdf" TargetMode="External"/><Relationship Id="rId169" Type="http://schemas.openxmlformats.org/officeDocument/2006/relationships/hyperlink" Target="https://ieeexplore.ieee.org/abstract/document/9229492/" TargetMode="External"/><Relationship Id="rId4" Type="http://schemas.openxmlformats.org/officeDocument/2006/relationships/hyperlink" Target="https://doi.org/10.1016/j.patrec.2024.01.005" TargetMode="External"/><Relationship Id="rId180" Type="http://schemas.openxmlformats.org/officeDocument/2006/relationships/hyperlink" Target="https://arxiv.org/abs/2406.06636" TargetMode="External"/><Relationship Id="rId215" Type="http://schemas.openxmlformats.org/officeDocument/2006/relationships/hyperlink" Target="https://link.springer.com/article/10.1007/s10015-023-00852-4" TargetMode="External"/><Relationship Id="rId236" Type="http://schemas.openxmlformats.org/officeDocument/2006/relationships/hyperlink" Target="https://ieeexplore.ieee.org/abstract/document/9823463/" TargetMode="External"/><Relationship Id="rId257" Type="http://schemas.openxmlformats.org/officeDocument/2006/relationships/hyperlink" Target="https://search.proquest.com/openview/f65602b3927a99b5875f367e1707b765/1?pq-origsite=gscholar&amp;cbl=18750&amp;diss=y" TargetMode="External"/><Relationship Id="rId278" Type="http://schemas.openxmlformats.org/officeDocument/2006/relationships/hyperlink" Target="https://unsworks.unsw.edu.au/entities/publication/686cfd4c-aeb4-4b2d-b8e4-710acf606387/full" TargetMode="External"/><Relationship Id="rId303" Type="http://schemas.openxmlformats.org/officeDocument/2006/relationships/hyperlink" Target="https://www.scienceopen.com/document_file/d2961091-7704-4ec7-906b-a6036cc39d1e/PubMedCentral/d2961091-7704-4ec7-906b-a6036cc39d1e.pdf" TargetMode="External"/><Relationship Id="rId42" Type="http://schemas.openxmlformats.org/officeDocument/2006/relationships/hyperlink" Target="https://doi.org/10.1016/j.procs.2023.10.134" TargetMode="External"/><Relationship Id="rId84" Type="http://schemas.openxmlformats.org/officeDocument/2006/relationships/hyperlink" Target="https://cmcma.sbu.ac.ir/article_104428.html" TargetMode="External"/><Relationship Id="rId138" Type="http://schemas.openxmlformats.org/officeDocument/2006/relationships/hyperlink" Target="https://ieeexplore.ieee.org/abstract/document/10606486/" TargetMode="External"/><Relationship Id="rId191" Type="http://schemas.openxmlformats.org/officeDocument/2006/relationships/hyperlink" Target="https://link.springer.com/article/10.1007/s41347-024-00454-2" TargetMode="External"/><Relationship Id="rId205" Type="http://schemas.openxmlformats.org/officeDocument/2006/relationships/hyperlink" Target="https://arxiv.org/abs/2407.12797" TargetMode="External"/><Relationship Id="rId247" Type="http://schemas.openxmlformats.org/officeDocument/2006/relationships/hyperlink" Target="https://aissmsioitresearch.com/wp-content/uploads/2023/02/IJTEAMS-2-2-6.pdf" TargetMode="External"/><Relationship Id="rId107" Type="http://schemas.openxmlformats.org/officeDocument/2006/relationships/hyperlink" Target="https://theses.hal.science/tel-04823166/" TargetMode="External"/><Relationship Id="rId289" Type="http://schemas.openxmlformats.org/officeDocument/2006/relationships/hyperlink" Target="https://inform.nu/Articles/Vol27/InfoSciV27Art002Elo10089.pdf" TargetMode="External"/><Relationship Id="rId11" Type="http://schemas.openxmlformats.org/officeDocument/2006/relationships/hyperlink" Target="https://doi.org/10.1016/j.bspc.2023.105704" TargetMode="External"/><Relationship Id="rId53" Type="http://schemas.openxmlformats.org/officeDocument/2006/relationships/hyperlink" Target="https://doi.org/10.1016/j.jhe.2018.06.010" TargetMode="External"/><Relationship Id="rId149" Type="http://schemas.openxmlformats.org/officeDocument/2006/relationships/hyperlink" Target="https://onlinelibrary.wiley.com/doi/abs/10.1002/ima.22793" TargetMode="External"/><Relationship Id="rId95" Type="http://schemas.openxmlformats.org/officeDocument/2006/relationships/hyperlink" Target="https://www.frontiersin.org/articles/10.3389/fpsyt.2023.1160291/full" TargetMode="External"/><Relationship Id="rId160" Type="http://schemas.openxmlformats.org/officeDocument/2006/relationships/hyperlink" Target="https://search.proquest.com/openview/be3fee0905515d1b7183ea03ef5050f0/1?pq-origsite=gscholar&amp;cbl=18750&amp;diss=y" TargetMode="External"/><Relationship Id="rId216" Type="http://schemas.openxmlformats.org/officeDocument/2006/relationships/hyperlink" Target="https://ieeexplore.ieee.org/abstract/document/10480450/" TargetMode="External"/><Relationship Id="rId258" Type="http://schemas.openxmlformats.org/officeDocument/2006/relationships/hyperlink" Target="https://ieeexplore.ieee.org/abstract/document/8683595/" TargetMode="External"/><Relationship Id="rId22" Type="http://schemas.openxmlformats.org/officeDocument/2006/relationships/hyperlink" Target="https://doi.org/10.1016/j.compbiomed.2021.104499" TargetMode="External"/><Relationship Id="rId64" Type="http://schemas.openxmlformats.org/officeDocument/2006/relationships/hyperlink" Target="https://doi.org/10.1145/3527927.3532789" TargetMode="External"/><Relationship Id="rId118" Type="http://schemas.openxmlformats.org/officeDocument/2006/relationships/hyperlink" Target="https://ieeexplore.ieee.org/abstract/document/9746634/" TargetMode="External"/><Relationship Id="rId171" Type="http://schemas.openxmlformats.org/officeDocument/2006/relationships/hyperlink" Target="https://ieeexplore.ieee.org/abstract/document/10510627/" TargetMode="External"/><Relationship Id="rId227" Type="http://schemas.openxmlformats.org/officeDocument/2006/relationships/hyperlink" Target="https://ieeexplore.ieee.org/abstract/document/8471736/" TargetMode="External"/><Relationship Id="rId269" Type="http://schemas.openxmlformats.org/officeDocument/2006/relationships/hyperlink" Target="https://search.proquest.com/openview/d2eff695201f286d3035bd939d420e4f/1?pq-origsite=gscholar&amp;cbl=18750" TargetMode="External"/><Relationship Id="rId33" Type="http://schemas.openxmlformats.org/officeDocument/2006/relationships/hyperlink" Target="https://doi.org/10.1016/j.procs.2015.08.249" TargetMode="External"/><Relationship Id="rId129" Type="http://schemas.openxmlformats.org/officeDocument/2006/relationships/hyperlink" Target="https://www.spiedigitallibrary.org/conference-proceedings-of-spie/12506/125066A/Multimodal-depression-detection-using-a-deep-feature-fusion-network/10.1117/12.2662620.short" TargetMode="External"/><Relationship Id="rId280" Type="http://schemas.openxmlformats.org/officeDocument/2006/relationships/hyperlink" Target="https://arxiv.org/abs/2402.13589" TargetMode="External"/><Relationship Id="rId75" Type="http://schemas.openxmlformats.org/officeDocument/2006/relationships/hyperlink" Target="https://doi.org/10.1145/1647314.1647338" TargetMode="External"/><Relationship Id="rId140" Type="http://schemas.openxmlformats.org/officeDocument/2006/relationships/hyperlink" Target="https://digital.wpi.edu/downloads/9593tz15j" TargetMode="External"/><Relationship Id="rId182" Type="http://schemas.openxmlformats.org/officeDocument/2006/relationships/hyperlink" Target="https://ieeexplore.ieee.org/abstract/document/10353974/" TargetMode="External"/><Relationship Id="rId6" Type="http://schemas.openxmlformats.org/officeDocument/2006/relationships/hyperlink" Target="https://doi.org/10.1016/j.neucom.2025.129669" TargetMode="External"/><Relationship Id="rId238" Type="http://schemas.openxmlformats.org/officeDocument/2006/relationships/hyperlink" Target="https://ieeexplore.ieee.org/abstract/document/10746029/"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52"/>
  <sheetViews>
    <sheetView zoomScale="66" zoomScaleNormal="80" workbookViewId="0">
      <selection activeCell="M136" sqref="M136"/>
    </sheetView>
  </sheetViews>
  <sheetFormatPr defaultRowHeight="14.5" x14ac:dyDescent="0.35"/>
  <cols>
    <col min="1" max="1" width="43.36328125" style="1" customWidth="1"/>
    <col min="2" max="2" width="10.54296875" customWidth="1"/>
    <col min="3" max="3" width="11.81640625" customWidth="1"/>
    <col min="4" max="4" width="38.26953125" customWidth="1"/>
    <col min="5" max="9" width="18.453125" style="1" customWidth="1"/>
    <col min="10" max="11" width="11.1796875" customWidth="1"/>
    <col min="12" max="12" width="17.81640625" style="1" customWidth="1"/>
    <col min="13" max="13" width="12.90625" bestFit="1" customWidth="1"/>
    <col min="14" max="14" width="13.1796875" bestFit="1" customWidth="1"/>
    <col min="15" max="15" width="12.90625" bestFit="1" customWidth="1"/>
    <col min="16" max="16" width="12.54296875" bestFit="1" customWidth="1"/>
    <col min="17" max="17" width="12.08984375" bestFit="1" customWidth="1"/>
    <col min="18" max="18" width="12.81640625" bestFit="1" customWidth="1"/>
    <col min="20" max="20" width="12.7265625" bestFit="1" customWidth="1"/>
    <col min="21" max="21" width="9.26953125" bestFit="1" customWidth="1"/>
    <col min="22" max="22" width="10.08984375" bestFit="1" customWidth="1"/>
    <col min="23" max="23" width="11.6328125" bestFit="1" customWidth="1"/>
    <col min="24" max="24" width="9.453125" bestFit="1" customWidth="1"/>
    <col min="25" max="25" width="10.453125" bestFit="1" customWidth="1"/>
    <col min="26" max="26" width="12" bestFit="1" customWidth="1"/>
    <col min="27" max="27" width="12.7265625" bestFit="1" customWidth="1"/>
    <col min="28" max="28" width="12.7265625" customWidth="1"/>
    <col min="29" max="29" width="19.81640625" bestFit="1" customWidth="1"/>
    <col min="30" max="30" width="19.81640625" customWidth="1"/>
  </cols>
  <sheetData>
    <row r="1" spans="1:33" s="4" customFormat="1" ht="29" x14ac:dyDescent="0.35">
      <c r="A1" s="2" t="s">
        <v>707</v>
      </c>
      <c r="B1" s="3" t="s">
        <v>708</v>
      </c>
      <c r="C1" s="3" t="s">
        <v>709</v>
      </c>
      <c r="D1" s="3" t="s">
        <v>710</v>
      </c>
      <c r="E1" s="5" t="s">
        <v>711</v>
      </c>
      <c r="F1" s="6" t="s">
        <v>744</v>
      </c>
      <c r="G1" s="6" t="s">
        <v>712</v>
      </c>
      <c r="H1" s="6" t="s">
        <v>722</v>
      </c>
      <c r="I1" s="6" t="s">
        <v>723</v>
      </c>
      <c r="J1" s="6" t="s">
        <v>721</v>
      </c>
      <c r="K1" s="6" t="s">
        <v>746</v>
      </c>
      <c r="L1" s="6" t="s">
        <v>745</v>
      </c>
      <c r="M1" s="6" t="s">
        <v>747</v>
      </c>
      <c r="N1" s="6" t="s">
        <v>748</v>
      </c>
      <c r="O1" s="6" t="s">
        <v>749</v>
      </c>
      <c r="P1" s="6" t="s">
        <v>750</v>
      </c>
      <c r="Q1" s="6" t="s">
        <v>751</v>
      </c>
      <c r="R1" s="6" t="s">
        <v>752</v>
      </c>
      <c r="S1" s="6" t="s">
        <v>753</v>
      </c>
      <c r="T1" s="6" t="s">
        <v>754</v>
      </c>
      <c r="U1" s="6" t="s">
        <v>757</v>
      </c>
      <c r="V1" s="6" t="s">
        <v>758</v>
      </c>
      <c r="W1" s="6" t="s">
        <v>759</v>
      </c>
      <c r="X1" s="6" t="s">
        <v>760</v>
      </c>
      <c r="Y1" s="6" t="s">
        <v>772</v>
      </c>
      <c r="Z1" s="6" t="s">
        <v>761</v>
      </c>
      <c r="AA1" s="6" t="s">
        <v>755</v>
      </c>
      <c r="AB1" s="6" t="s">
        <v>776</v>
      </c>
      <c r="AC1" s="6" t="s">
        <v>803</v>
      </c>
      <c r="AD1" s="6" t="s">
        <v>792</v>
      </c>
      <c r="AE1" s="9" t="s">
        <v>762</v>
      </c>
      <c r="AF1" s="9" t="s">
        <v>789</v>
      </c>
      <c r="AG1" s="10" t="s">
        <v>767</v>
      </c>
    </row>
    <row r="2" spans="1:33" ht="43.5" hidden="1" x14ac:dyDescent="0.35">
      <c r="A2" s="1" t="s">
        <v>0</v>
      </c>
      <c r="B2" s="7" t="s">
        <v>1</v>
      </c>
      <c r="C2" t="s">
        <v>2</v>
      </c>
      <c r="D2" t="s">
        <v>3</v>
      </c>
      <c r="E2" s="1" t="b">
        <v>0</v>
      </c>
      <c r="J2" s="1"/>
      <c r="K2" s="1"/>
      <c r="L2" s="1" t="b">
        <f>IF(OR(Table1[[#This Row],[Does not regard DAIC-WOZ]]=TRUE,Table1[[#This Row],[Does not use MAE]]=TRUE,Table1[[#This Row],[Does not introduce new model]]=TRUE,Table1[[#This Row],[Not in English]]=TRUE,Table1[[#This Row],[Not retrieved]]=TRUE),TRUE,FALSE)</f>
        <v>0</v>
      </c>
      <c r="M2" t="s">
        <v>763</v>
      </c>
      <c r="N2" s="1" t="s">
        <v>753</v>
      </c>
      <c r="O2" s="1" t="s">
        <v>766</v>
      </c>
      <c r="P2" s="1" t="s">
        <v>768</v>
      </c>
      <c r="Q2" s="1" t="s">
        <v>753</v>
      </c>
      <c r="R2" s="1" t="s">
        <v>753</v>
      </c>
      <c r="S2" s="1"/>
      <c r="T2" s="1" t="s">
        <v>769</v>
      </c>
      <c r="U2" s="1">
        <v>2.99</v>
      </c>
      <c r="V2" s="1">
        <v>3.85</v>
      </c>
      <c r="W2" s="1" t="s">
        <v>753</v>
      </c>
      <c r="X2" s="1">
        <v>4.28</v>
      </c>
      <c r="Y2" s="1">
        <v>5.66</v>
      </c>
      <c r="Z2" s="1" t="s">
        <v>753</v>
      </c>
      <c r="AA2" s="1" t="s">
        <v>773</v>
      </c>
      <c r="AB2" s="1" t="s">
        <v>773</v>
      </c>
      <c r="AC2" s="1" t="s">
        <v>778</v>
      </c>
      <c r="AD2" s="1" t="s">
        <v>753</v>
      </c>
      <c r="AE2" s="1"/>
      <c r="AF2"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 t="s">
        <v>771</v>
      </c>
    </row>
    <row r="3" spans="1:33" ht="43.5" hidden="1" x14ac:dyDescent="0.35">
      <c r="A3" s="1" t="s">
        <v>4</v>
      </c>
      <c r="B3" s="7" t="s">
        <v>5</v>
      </c>
      <c r="C3" t="s">
        <v>6</v>
      </c>
      <c r="D3" t="s">
        <v>7</v>
      </c>
      <c r="E3" s="1" t="b">
        <v>0</v>
      </c>
      <c r="J3" s="1"/>
      <c r="K3" s="1"/>
      <c r="L3" s="1" t="b">
        <f>IF(OR(Table1[[#This Row],[Does not regard DAIC-WOZ]]=TRUE,Table1[[#This Row],[Does not use MAE]]=TRUE,Table1[[#This Row],[Does not introduce new model]]=TRUE,Table1[[#This Row],[Not in English]]=TRUE,Table1[[#This Row],[Not retrieved]]=TRUE),TRUE,FALSE)</f>
        <v>0</v>
      </c>
      <c r="M3" s="1" t="s">
        <v>753</v>
      </c>
      <c r="N3" s="1" t="s">
        <v>753</v>
      </c>
      <c r="O3" s="1" t="s">
        <v>753</v>
      </c>
      <c r="P3" s="1" t="s">
        <v>774</v>
      </c>
      <c r="Q3" s="1" t="s">
        <v>777</v>
      </c>
      <c r="R3" s="1" t="s">
        <v>753</v>
      </c>
      <c r="S3" s="1"/>
      <c r="T3" s="1" t="s">
        <v>775</v>
      </c>
      <c r="U3" s="1" t="s">
        <v>753</v>
      </c>
      <c r="V3" s="1" t="s">
        <v>753</v>
      </c>
      <c r="W3" s="1" t="s">
        <v>753</v>
      </c>
      <c r="X3" s="1">
        <v>3.84</v>
      </c>
      <c r="Y3" s="1">
        <v>5.08</v>
      </c>
      <c r="Z3" s="1" t="s">
        <v>753</v>
      </c>
      <c r="AA3" s="1" t="s">
        <v>773</v>
      </c>
      <c r="AB3" s="1" t="s">
        <v>773</v>
      </c>
      <c r="AC3" s="1" t="s">
        <v>753</v>
      </c>
      <c r="AD3" s="1" t="s">
        <v>753</v>
      </c>
      <c r="AE3" s="1"/>
      <c r="AF3"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3" t="s">
        <v>782</v>
      </c>
    </row>
    <row r="4" spans="1:33" ht="29" hidden="1" x14ac:dyDescent="0.35">
      <c r="A4" s="1" t="s">
        <v>8</v>
      </c>
      <c r="B4" s="7" t="s">
        <v>9</v>
      </c>
      <c r="C4" t="s">
        <v>6</v>
      </c>
      <c r="D4" t="s">
        <v>10</v>
      </c>
      <c r="E4" s="1" t="b">
        <v>1</v>
      </c>
      <c r="J4" s="1"/>
      <c r="K4" s="1"/>
      <c r="L4" s="1" t="b">
        <f>IF(OR(Table1[[#This Row],[Does not regard DAIC-WOZ]]=TRUE,Table1[[#This Row],[Does not use MAE]]=TRUE,Table1[[#This Row],[Does not introduce new model]]=TRUE,Table1[[#This Row],[Not in English]]=TRUE,Table1[[#This Row],[Not retrieved]]=TRUE),TRUE,FALSE)</f>
        <v>0</v>
      </c>
      <c r="M4" s="1"/>
      <c r="N4" s="1"/>
      <c r="O4" s="1"/>
      <c r="P4" s="1"/>
      <c r="Q4" s="1"/>
      <c r="R4" s="1"/>
      <c r="S4" s="1"/>
      <c r="T4" s="1"/>
      <c r="U4" s="1"/>
      <c r="V4" s="1"/>
      <c r="W4" s="1"/>
      <c r="X4" s="1"/>
      <c r="Y4" s="1"/>
      <c r="Z4" s="1"/>
      <c r="AA4" s="1"/>
      <c r="AB4" s="1"/>
      <c r="AC4" s="1"/>
      <c r="AD4" s="1"/>
      <c r="AE4" s="1"/>
      <c r="AF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 s="1"/>
    </row>
    <row r="5" spans="1:33" ht="43.5" hidden="1" x14ac:dyDescent="0.35">
      <c r="A5" s="1" t="s">
        <v>11</v>
      </c>
      <c r="B5" s="7" t="s">
        <v>12</v>
      </c>
      <c r="C5" t="s">
        <v>6</v>
      </c>
      <c r="D5" t="s">
        <v>13</v>
      </c>
      <c r="E5" s="1" t="b">
        <v>0</v>
      </c>
      <c r="J5" s="1"/>
      <c r="K5" s="1"/>
      <c r="L5" s="1" t="b">
        <f>IF(OR(Table1[[#This Row],[Does not regard DAIC-WOZ]]=TRUE,Table1[[#This Row],[Does not use MAE]]=TRUE,Table1[[#This Row],[Does not introduce new model]]=TRUE,Table1[[#This Row],[Not in English]]=TRUE,Table1[[#This Row],[Not retrieved]]=TRUE),TRUE,FALSE)</f>
        <v>0</v>
      </c>
      <c r="M5" s="1" t="s">
        <v>780</v>
      </c>
      <c r="N5" s="1" t="s">
        <v>779</v>
      </c>
      <c r="O5" s="1" t="s">
        <v>766</v>
      </c>
      <c r="P5" s="1" t="s">
        <v>781</v>
      </c>
      <c r="Q5" s="1" t="s">
        <v>753</v>
      </c>
      <c r="R5" s="1" t="s">
        <v>753</v>
      </c>
      <c r="S5" s="1"/>
      <c r="T5" s="1" t="s">
        <v>770</v>
      </c>
      <c r="U5" s="1" t="s">
        <v>753</v>
      </c>
      <c r="V5" s="1" t="s">
        <v>753</v>
      </c>
      <c r="W5" s="1" t="s">
        <v>753</v>
      </c>
      <c r="X5" s="1">
        <v>5.28</v>
      </c>
      <c r="Y5" s="1" t="s">
        <v>753</v>
      </c>
      <c r="Z5" s="1" t="s">
        <v>753</v>
      </c>
      <c r="AA5" s="1" t="s">
        <v>773</v>
      </c>
      <c r="AB5" s="1" t="s">
        <v>773</v>
      </c>
      <c r="AC5" s="1" t="s">
        <v>778</v>
      </c>
      <c r="AD5" s="1" t="s">
        <v>773</v>
      </c>
      <c r="AE5" s="1"/>
      <c r="AF5"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5" t="s">
        <v>783</v>
      </c>
    </row>
    <row r="6" spans="1:33" ht="58" hidden="1" x14ac:dyDescent="0.35">
      <c r="A6" s="1" t="s">
        <v>14</v>
      </c>
      <c r="B6" s="7" t="s">
        <v>15</v>
      </c>
      <c r="C6" t="s">
        <v>2</v>
      </c>
      <c r="D6" t="s">
        <v>16</v>
      </c>
      <c r="E6" s="1" t="b">
        <v>0</v>
      </c>
      <c r="J6" s="1"/>
      <c r="K6" s="1"/>
      <c r="L6" s="1" t="b">
        <f>IF(OR(Table1[[#This Row],[Does not regard DAIC-WOZ]]=TRUE,Table1[[#This Row],[Does not use MAE]]=TRUE,Table1[[#This Row],[Does not introduce new model]]=TRUE,Table1[[#This Row],[Not in English]]=TRUE,Table1[[#This Row],[Not retrieved]]=TRUE),TRUE,FALSE)</f>
        <v>0</v>
      </c>
      <c r="M6" s="1" t="s">
        <v>786</v>
      </c>
      <c r="N6" s="1" t="s">
        <v>779</v>
      </c>
      <c r="O6" s="1" t="s">
        <v>788</v>
      </c>
      <c r="P6" s="1" t="s">
        <v>785</v>
      </c>
      <c r="Q6" s="1" t="s">
        <v>753</v>
      </c>
      <c r="R6" s="1" t="s">
        <v>787</v>
      </c>
      <c r="S6" s="1"/>
      <c r="T6" s="1" t="s">
        <v>784</v>
      </c>
      <c r="U6" s="1" t="s">
        <v>753</v>
      </c>
      <c r="V6" s="1" t="s">
        <v>753</v>
      </c>
      <c r="W6" s="1" t="s">
        <v>753</v>
      </c>
      <c r="X6" s="1">
        <v>3.87</v>
      </c>
      <c r="Y6" s="1">
        <v>4.9800000000000004</v>
      </c>
      <c r="Z6" s="1" t="s">
        <v>753</v>
      </c>
      <c r="AA6" s="1" t="s">
        <v>773</v>
      </c>
      <c r="AB6" s="1" t="s">
        <v>773</v>
      </c>
      <c r="AC6" s="1" t="s">
        <v>778</v>
      </c>
      <c r="AD6" s="1" t="s">
        <v>773</v>
      </c>
      <c r="AE6" s="1"/>
      <c r="AF6"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6" t="s">
        <v>955</v>
      </c>
    </row>
    <row r="7" spans="1:33" ht="409.5" hidden="1" x14ac:dyDescent="0.35">
      <c r="A7" s="1" t="s">
        <v>17</v>
      </c>
      <c r="B7" s="7" t="s">
        <v>18</v>
      </c>
      <c r="C7" t="s">
        <v>6</v>
      </c>
      <c r="D7" s="1" t="s">
        <v>19</v>
      </c>
      <c r="E7" s="1" t="b">
        <v>0</v>
      </c>
      <c r="F7" s="1" t="s">
        <v>732</v>
      </c>
      <c r="G7" s="1" t="b">
        <v>1</v>
      </c>
      <c r="J7" s="1"/>
      <c r="K7" s="1"/>
      <c r="L7" s="1" t="b">
        <f>IF(OR(Table1[[#This Row],[Does not regard DAIC-WOZ]]=TRUE,Table1[[#This Row],[Does not use MAE]]=TRUE,Table1[[#This Row],[Does not introduce new model]]=TRUE,Table1[[#This Row],[Not in English]]=TRUE,Table1[[#This Row],[Not retrieved]]=TRUE),TRUE,FALSE)</f>
        <v>1</v>
      </c>
      <c r="M7" s="1"/>
      <c r="N7" s="1"/>
      <c r="O7" s="1"/>
      <c r="P7" s="1"/>
      <c r="Q7" s="1"/>
      <c r="R7" s="1"/>
      <c r="S7" s="1"/>
      <c r="T7" s="1"/>
      <c r="U7" s="1"/>
      <c r="V7" s="1"/>
      <c r="W7" s="1"/>
      <c r="X7" s="1"/>
      <c r="Y7" s="1"/>
      <c r="Z7" s="1"/>
      <c r="AA7" s="1"/>
      <c r="AB7" s="1"/>
      <c r="AC7" s="1"/>
      <c r="AD7" s="1"/>
      <c r="AE7" s="1"/>
      <c r="AF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 s="1"/>
    </row>
    <row r="8" spans="1:33" ht="43.5" hidden="1" x14ac:dyDescent="0.35">
      <c r="A8" s="1" t="s">
        <v>20</v>
      </c>
      <c r="B8" s="7" t="s">
        <v>21</v>
      </c>
      <c r="C8" t="s">
        <v>6</v>
      </c>
      <c r="D8" t="s">
        <v>22</v>
      </c>
      <c r="E8" s="1" t="b">
        <v>1</v>
      </c>
      <c r="J8" s="1"/>
      <c r="K8" s="1"/>
      <c r="L8" s="1" t="b">
        <f>IF(OR(Table1[[#This Row],[Does not regard DAIC-WOZ]]=TRUE,Table1[[#This Row],[Does not use MAE]]=TRUE,Table1[[#This Row],[Does not introduce new model]]=TRUE,Table1[[#This Row],[Not in English]]=TRUE,Table1[[#This Row],[Not retrieved]]=TRUE),TRUE,FALSE)</f>
        <v>0</v>
      </c>
      <c r="M8" s="1"/>
      <c r="N8" s="1"/>
      <c r="O8" s="1"/>
      <c r="P8" s="1"/>
      <c r="Q8" s="1"/>
      <c r="R8" s="1"/>
      <c r="S8" s="1"/>
      <c r="T8" s="1"/>
      <c r="U8" s="1"/>
      <c r="V8" s="1"/>
      <c r="W8" s="1"/>
      <c r="X8" s="1"/>
      <c r="Y8" s="1"/>
      <c r="Z8" s="1"/>
      <c r="AA8" s="1"/>
      <c r="AB8" s="1"/>
      <c r="AC8" s="1"/>
      <c r="AD8" s="1"/>
      <c r="AE8" s="1"/>
      <c r="AF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 s="1"/>
    </row>
    <row r="9" spans="1:33" ht="116" hidden="1" x14ac:dyDescent="0.35">
      <c r="A9" s="1" t="s">
        <v>23</v>
      </c>
      <c r="B9" s="7" t="s">
        <v>24</v>
      </c>
      <c r="C9" t="s">
        <v>6</v>
      </c>
      <c r="D9" t="s">
        <v>25</v>
      </c>
      <c r="E9" s="1" t="b">
        <v>0</v>
      </c>
      <c r="J9" s="1"/>
      <c r="K9" s="1"/>
      <c r="L9" s="1" t="b">
        <f>IF(OR(Table1[[#This Row],[Does not regard DAIC-WOZ]]=TRUE,Table1[[#This Row],[Does not use MAE]]=TRUE,Table1[[#This Row],[Does not introduce new model]]=TRUE,Table1[[#This Row],[Not in English]]=TRUE,Table1[[#This Row],[Not retrieved]]=TRUE),TRUE,FALSE)</f>
        <v>0</v>
      </c>
      <c r="M9" s="1" t="s">
        <v>794</v>
      </c>
      <c r="N9" s="1" t="s">
        <v>795</v>
      </c>
      <c r="O9" s="1" t="s">
        <v>788</v>
      </c>
      <c r="P9" s="1" t="s">
        <v>791</v>
      </c>
      <c r="Q9" s="1" t="s">
        <v>753</v>
      </c>
      <c r="R9" s="1" t="s">
        <v>753</v>
      </c>
      <c r="S9" s="1"/>
      <c r="T9" s="1" t="s">
        <v>770</v>
      </c>
      <c r="U9" s="1" t="s">
        <v>753</v>
      </c>
      <c r="V9" s="1" t="s">
        <v>753</v>
      </c>
      <c r="W9" s="1" t="s">
        <v>753</v>
      </c>
      <c r="X9" s="1">
        <v>4.08</v>
      </c>
      <c r="Y9" s="1">
        <v>5.13</v>
      </c>
      <c r="Z9" s="1" t="s">
        <v>753</v>
      </c>
      <c r="AA9" s="1" t="s">
        <v>773</v>
      </c>
      <c r="AB9" s="1" t="s">
        <v>773</v>
      </c>
      <c r="AC9" s="1" t="s">
        <v>778</v>
      </c>
      <c r="AD9" s="1" t="s">
        <v>778</v>
      </c>
      <c r="AE9" s="1"/>
      <c r="AF9"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9" t="s">
        <v>793</v>
      </c>
    </row>
    <row r="10" spans="1:33" ht="43.5" hidden="1" x14ac:dyDescent="0.35">
      <c r="A10" s="1" t="s">
        <v>26</v>
      </c>
      <c r="B10" s="7" t="s">
        <v>27</v>
      </c>
      <c r="C10" t="s">
        <v>2</v>
      </c>
      <c r="D10" t="s">
        <v>28</v>
      </c>
      <c r="E10" s="1" t="b">
        <v>0</v>
      </c>
      <c r="F10" s="1" t="s">
        <v>724</v>
      </c>
      <c r="G10" s="1" t="b">
        <v>1</v>
      </c>
      <c r="J10" s="1"/>
      <c r="K10" s="1"/>
      <c r="L10" s="1" t="b">
        <f>IF(OR(Table1[[#This Row],[Does not regard DAIC-WOZ]]=TRUE,Table1[[#This Row],[Does not use MAE]]=TRUE,Table1[[#This Row],[Does not introduce new model]]=TRUE,Table1[[#This Row],[Not in English]]=TRUE,Table1[[#This Row],[Not retrieved]]=TRUE),TRUE,FALSE)</f>
        <v>1</v>
      </c>
      <c r="M10" s="1" t="s">
        <v>756</v>
      </c>
      <c r="N10" s="1"/>
      <c r="O10" s="1"/>
      <c r="P10" s="1"/>
      <c r="Q10" s="1"/>
      <c r="R10" s="1"/>
      <c r="S10" s="1"/>
      <c r="T10" s="1"/>
      <c r="U10" s="1"/>
      <c r="V10" s="1"/>
      <c r="W10" s="1"/>
      <c r="X10" s="1"/>
      <c r="Y10" s="1"/>
      <c r="Z10" s="1"/>
      <c r="AA10" s="1"/>
      <c r="AB10" s="1"/>
      <c r="AC10" s="1"/>
      <c r="AD10" s="1"/>
      <c r="AE10" s="1"/>
      <c r="AF1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1" spans="1:33" ht="72.5" hidden="1" x14ac:dyDescent="0.35">
      <c r="A11" s="1" t="s">
        <v>29</v>
      </c>
      <c r="B11" s="7" t="s">
        <v>30</v>
      </c>
      <c r="C11" t="s">
        <v>6</v>
      </c>
      <c r="D11" t="s">
        <v>31</v>
      </c>
      <c r="E11" s="1" t="b">
        <v>0</v>
      </c>
      <c r="J11" s="1"/>
      <c r="K11" s="1"/>
      <c r="L11" s="1" t="b">
        <f>IF(OR(Table1[[#This Row],[Does not regard DAIC-WOZ]]=TRUE,Table1[[#This Row],[Does not use MAE]]=TRUE,Table1[[#This Row],[Does not introduce new model]]=TRUE,Table1[[#This Row],[Not in English]]=TRUE,Table1[[#This Row],[Not retrieved]]=TRUE),TRUE,FALSE)</f>
        <v>0</v>
      </c>
      <c r="M11" s="1" t="s">
        <v>802</v>
      </c>
      <c r="N11" s="1" t="s">
        <v>796</v>
      </c>
      <c r="O11" s="1" t="s">
        <v>788</v>
      </c>
      <c r="P11" s="1" t="s">
        <v>801</v>
      </c>
      <c r="Q11" s="1" t="s">
        <v>777</v>
      </c>
      <c r="R11" s="1" t="s">
        <v>753</v>
      </c>
      <c r="S11" s="1"/>
      <c r="T11" s="1" t="s">
        <v>784</v>
      </c>
      <c r="U11" s="1">
        <v>3.22</v>
      </c>
      <c r="V11" s="1">
        <v>4.43</v>
      </c>
      <c r="W11" s="1" t="s">
        <v>753</v>
      </c>
      <c r="X11" s="1">
        <v>3.98</v>
      </c>
      <c r="Y11" s="1">
        <v>5.1100000000000003</v>
      </c>
      <c r="Z11" s="1" t="s">
        <v>753</v>
      </c>
      <c r="AA11" s="1" t="s">
        <v>778</v>
      </c>
      <c r="AB11" s="1" t="s">
        <v>778</v>
      </c>
      <c r="AC11" s="1" t="s">
        <v>778</v>
      </c>
      <c r="AD11" s="1" t="s">
        <v>773</v>
      </c>
      <c r="AE11" s="1"/>
      <c r="AF11"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1" t="s">
        <v>954</v>
      </c>
    </row>
    <row r="12" spans="1:33" ht="409.5" hidden="1" x14ac:dyDescent="0.35">
      <c r="A12" s="1" t="s">
        <v>32</v>
      </c>
      <c r="B12" s="7" t="s">
        <v>33</v>
      </c>
      <c r="C12" t="s">
        <v>6</v>
      </c>
      <c r="D12" s="1" t="s">
        <v>34</v>
      </c>
      <c r="E12" s="1" t="b">
        <v>0</v>
      </c>
      <c r="F12" s="1" t="s">
        <v>733</v>
      </c>
      <c r="G12" s="1" t="b">
        <v>1</v>
      </c>
      <c r="J12" s="1"/>
      <c r="K12" s="1"/>
      <c r="L12" s="1" t="b">
        <f>IF(OR(Table1[[#This Row],[Does not regard DAIC-WOZ]]=TRUE,Table1[[#This Row],[Does not use MAE]]=TRUE,Table1[[#This Row],[Does not introduce new model]]=TRUE,Table1[[#This Row],[Not in English]]=TRUE,Table1[[#This Row],[Not retrieved]]=TRUE),TRUE,FALSE)</f>
        <v>1</v>
      </c>
      <c r="M12" s="1"/>
      <c r="N12" s="1"/>
      <c r="O12" s="1"/>
      <c r="P12" s="1"/>
      <c r="Q12" s="1"/>
      <c r="R12" s="1"/>
      <c r="S12" s="1"/>
      <c r="T12" s="1"/>
      <c r="U12" s="1"/>
      <c r="V12" s="1"/>
      <c r="W12" s="1"/>
      <c r="X12" s="1"/>
      <c r="Y12" s="1"/>
      <c r="Z12" s="1"/>
      <c r="AA12" s="1"/>
      <c r="AB12" s="1"/>
      <c r="AC12" s="1"/>
      <c r="AD12" s="1"/>
      <c r="AE12" s="1"/>
      <c r="AF1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 s="1"/>
    </row>
    <row r="13" spans="1:33" ht="409.5" hidden="1" x14ac:dyDescent="0.35">
      <c r="A13" s="1" t="s">
        <v>35</v>
      </c>
      <c r="B13" s="7" t="s">
        <v>36</v>
      </c>
      <c r="C13" t="s">
        <v>6</v>
      </c>
      <c r="D13" s="1" t="s">
        <v>37</v>
      </c>
      <c r="E13" s="1" t="b">
        <v>0</v>
      </c>
      <c r="F13" s="1" t="s">
        <v>732</v>
      </c>
      <c r="G13" s="1" t="b">
        <v>1</v>
      </c>
      <c r="J13" s="1"/>
      <c r="K13" s="1"/>
      <c r="L13" s="1" t="b">
        <f>IF(OR(Table1[[#This Row],[Does not regard DAIC-WOZ]]=TRUE,Table1[[#This Row],[Does not use MAE]]=TRUE,Table1[[#This Row],[Does not introduce new model]]=TRUE,Table1[[#This Row],[Not in English]]=TRUE,Table1[[#This Row],[Not retrieved]]=TRUE),TRUE,FALSE)</f>
        <v>1</v>
      </c>
      <c r="M13" s="1"/>
      <c r="N13" s="1"/>
      <c r="O13" s="1"/>
      <c r="P13" s="1"/>
      <c r="Q13" s="1"/>
      <c r="R13" s="1"/>
      <c r="S13" s="1"/>
      <c r="T13" s="1"/>
      <c r="U13" s="1"/>
      <c r="V13" s="1"/>
      <c r="W13" s="1"/>
      <c r="X13" s="1"/>
      <c r="Y13" s="1"/>
      <c r="Z13" s="1"/>
      <c r="AA13" s="1"/>
      <c r="AB13" s="1"/>
      <c r="AC13" s="1"/>
      <c r="AD13" s="1"/>
      <c r="AE13" s="1"/>
      <c r="AF1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3" s="1"/>
    </row>
    <row r="14" spans="1:33" ht="116" hidden="1" x14ac:dyDescent="0.35">
      <c r="A14" s="1" t="s">
        <v>38</v>
      </c>
      <c r="B14" s="7" t="s">
        <v>39</v>
      </c>
      <c r="C14" t="s">
        <v>2</v>
      </c>
      <c r="D14" t="s">
        <v>40</v>
      </c>
      <c r="E14" s="1" t="b">
        <v>0</v>
      </c>
      <c r="J14" s="1"/>
      <c r="K14" s="1"/>
      <c r="L14" s="1" t="b">
        <f>IF(OR(Table1[[#This Row],[Does not regard DAIC-WOZ]]=TRUE,Table1[[#This Row],[Does not use MAE]]=TRUE,Table1[[#This Row],[Does not introduce new model]]=TRUE,Table1[[#This Row],[Not in English]]=TRUE,Table1[[#This Row],[Not retrieved]]=TRUE),TRUE,FALSE)</f>
        <v>0</v>
      </c>
      <c r="M14" s="1" t="s">
        <v>804</v>
      </c>
      <c r="N14" s="1" t="s">
        <v>806</v>
      </c>
      <c r="O14" s="1" t="s">
        <v>805</v>
      </c>
      <c r="P14" s="1" t="s">
        <v>807</v>
      </c>
      <c r="Q14" s="1" t="s">
        <v>753</v>
      </c>
      <c r="R14" s="1" t="s">
        <v>808</v>
      </c>
      <c r="S14" s="1"/>
      <c r="T14" s="1" t="s">
        <v>769</v>
      </c>
      <c r="U14" s="1">
        <v>4.6399999999999997</v>
      </c>
      <c r="V14" s="1">
        <v>5.68</v>
      </c>
      <c r="W14" s="1" t="s">
        <v>753</v>
      </c>
      <c r="X14" s="1" t="s">
        <v>753</v>
      </c>
      <c r="Y14" s="1" t="s">
        <v>753</v>
      </c>
      <c r="Z14" s="1" t="s">
        <v>753</v>
      </c>
      <c r="AA14" s="1" t="s">
        <v>773</v>
      </c>
      <c r="AB14" s="1" t="s">
        <v>778</v>
      </c>
      <c r="AC14" s="1" t="s">
        <v>773</v>
      </c>
      <c r="AD14" s="1" t="s">
        <v>778</v>
      </c>
      <c r="AE14" s="1"/>
      <c r="AF14"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4" t="s">
        <v>809</v>
      </c>
    </row>
    <row r="15" spans="1:33" ht="409.5" hidden="1" x14ac:dyDescent="0.35">
      <c r="A15" s="1" t="s">
        <v>41</v>
      </c>
      <c r="B15" s="7" t="s">
        <v>42</v>
      </c>
      <c r="C15" t="s">
        <v>6</v>
      </c>
      <c r="D15" s="1" t="s">
        <v>43</v>
      </c>
      <c r="E15" s="1" t="b">
        <v>0</v>
      </c>
      <c r="F15" s="1" t="s">
        <v>734</v>
      </c>
      <c r="G15" s="1" t="b">
        <v>1</v>
      </c>
      <c r="J15" s="1"/>
      <c r="K15" s="1"/>
      <c r="L15" s="1" t="b">
        <f>IF(OR(Table1[[#This Row],[Does not regard DAIC-WOZ]]=TRUE,Table1[[#This Row],[Does not use MAE]]=TRUE,Table1[[#This Row],[Does not introduce new model]]=TRUE,Table1[[#This Row],[Not in English]]=TRUE,Table1[[#This Row],[Not retrieved]]=TRUE),TRUE,FALSE)</f>
        <v>1</v>
      </c>
      <c r="M15" s="1"/>
      <c r="N15" s="1"/>
      <c r="O15" s="1"/>
      <c r="P15" s="1"/>
      <c r="Q15" s="1"/>
      <c r="R15" s="1"/>
      <c r="S15" s="1"/>
      <c r="T15" s="1"/>
      <c r="U15" s="1"/>
      <c r="V15" s="1"/>
      <c r="W15" s="1"/>
      <c r="X15" s="1"/>
      <c r="Y15" s="1"/>
      <c r="Z15" s="1"/>
      <c r="AA15" s="1"/>
      <c r="AB15" s="1"/>
      <c r="AC15" s="1"/>
      <c r="AD15" s="1"/>
      <c r="AE15" s="1"/>
      <c r="AF1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5" s="1"/>
    </row>
    <row r="16" spans="1:33" ht="58" hidden="1" x14ac:dyDescent="0.35">
      <c r="A16" s="1" t="s">
        <v>44</v>
      </c>
      <c r="B16" s="7" t="s">
        <v>45</v>
      </c>
      <c r="C16" t="s">
        <v>6</v>
      </c>
      <c r="D16" t="s">
        <v>46</v>
      </c>
      <c r="E16" s="1" t="b">
        <v>0</v>
      </c>
      <c r="J16" s="1"/>
      <c r="K16" s="1"/>
      <c r="L16" s="1" t="b">
        <f>IF(OR(Table1[[#This Row],[Does not regard DAIC-WOZ]]=TRUE,Table1[[#This Row],[Does not use MAE]]=TRUE,Table1[[#This Row],[Does not introduce new model]]=TRUE,Table1[[#This Row],[Not in English]]=TRUE,Table1[[#This Row],[Not retrieved]]=TRUE),TRUE,FALSE)</f>
        <v>0</v>
      </c>
      <c r="M16" s="1" t="s">
        <v>813</v>
      </c>
      <c r="N16" s="1" t="s">
        <v>753</v>
      </c>
      <c r="O16" s="1" t="s">
        <v>788</v>
      </c>
      <c r="P16" s="1" t="s">
        <v>814</v>
      </c>
      <c r="Q16" s="1" t="s">
        <v>753</v>
      </c>
      <c r="R16" s="1" t="s">
        <v>815</v>
      </c>
      <c r="S16" s="1"/>
      <c r="T16" s="1" t="s">
        <v>769</v>
      </c>
      <c r="U16" s="1" t="s">
        <v>753</v>
      </c>
      <c r="V16" s="1" t="s">
        <v>753</v>
      </c>
      <c r="W16" s="1" t="s">
        <v>753</v>
      </c>
      <c r="X16" s="1" t="s">
        <v>753</v>
      </c>
      <c r="Y16" s="1" t="s">
        <v>753</v>
      </c>
      <c r="Z16" s="1" t="s">
        <v>753</v>
      </c>
      <c r="AA16" s="1" t="s">
        <v>773</v>
      </c>
      <c r="AB16" s="1" t="s">
        <v>773</v>
      </c>
      <c r="AC16" s="1" t="s">
        <v>778</v>
      </c>
      <c r="AD16" s="1" t="s">
        <v>753</v>
      </c>
      <c r="AE16" s="1"/>
      <c r="AF16"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6" t="s">
        <v>816</v>
      </c>
    </row>
    <row r="17" spans="1:33" ht="43.5" hidden="1" x14ac:dyDescent="0.35">
      <c r="A17" s="1" t="s">
        <v>47</v>
      </c>
      <c r="B17" s="7" t="s">
        <v>48</v>
      </c>
      <c r="C17" t="s">
        <v>6</v>
      </c>
      <c r="D17" t="s">
        <v>49</v>
      </c>
      <c r="E17" s="1" t="b">
        <v>0</v>
      </c>
      <c r="J17" s="1"/>
      <c r="K17" s="1"/>
      <c r="L17" s="1" t="b">
        <f>IF(OR(Table1[[#This Row],[Does not regard DAIC-WOZ]]=TRUE,Table1[[#This Row],[Does not use MAE]]=TRUE,Table1[[#This Row],[Does not introduce new model]]=TRUE,Table1[[#This Row],[Not in English]]=TRUE,Table1[[#This Row],[Not retrieved]]=TRUE),TRUE,FALSE)</f>
        <v>0</v>
      </c>
      <c r="M17" s="1" t="s">
        <v>753</v>
      </c>
      <c r="N17" s="1" t="s">
        <v>753</v>
      </c>
      <c r="O17" s="1" t="s">
        <v>753</v>
      </c>
      <c r="P17" s="1" t="s">
        <v>817</v>
      </c>
      <c r="Q17" s="1" t="s">
        <v>753</v>
      </c>
      <c r="R17" s="1" t="s">
        <v>753</v>
      </c>
      <c r="S17" s="1"/>
      <c r="T17" s="1" t="s">
        <v>784</v>
      </c>
      <c r="U17" s="1" t="s">
        <v>753</v>
      </c>
      <c r="V17" s="1" t="s">
        <v>753</v>
      </c>
      <c r="W17" s="1" t="s">
        <v>753</v>
      </c>
      <c r="X17" s="1" t="s">
        <v>753</v>
      </c>
      <c r="Y17" s="1" t="s">
        <v>753</v>
      </c>
      <c r="Z17" s="1" t="s">
        <v>753</v>
      </c>
      <c r="AA17" s="1" t="s">
        <v>773</v>
      </c>
      <c r="AB17" s="1" t="s">
        <v>773</v>
      </c>
      <c r="AC17" s="1" t="s">
        <v>753</v>
      </c>
      <c r="AD17" s="1" t="s">
        <v>753</v>
      </c>
      <c r="AE17" s="1"/>
      <c r="AF17"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7" t="s">
        <v>818</v>
      </c>
    </row>
    <row r="18" spans="1:33" ht="409.5" hidden="1" x14ac:dyDescent="0.35">
      <c r="A18" s="1" t="s">
        <v>50</v>
      </c>
      <c r="B18" s="7" t="s">
        <v>51</v>
      </c>
      <c r="C18" t="s">
        <v>2</v>
      </c>
      <c r="D18" s="1" t="s">
        <v>52</v>
      </c>
      <c r="E18" s="1" t="b">
        <v>0</v>
      </c>
      <c r="F18" s="1" t="s">
        <v>724</v>
      </c>
      <c r="G18" s="1" t="b">
        <v>1</v>
      </c>
      <c r="J18" s="1"/>
      <c r="K18" s="1"/>
      <c r="L18" s="1" t="b">
        <f>IF(OR(Table1[[#This Row],[Does not regard DAIC-WOZ]]=TRUE,Table1[[#This Row],[Does not use MAE]]=TRUE,Table1[[#This Row],[Does not introduce new model]]=TRUE,Table1[[#This Row],[Not in English]]=TRUE,Table1[[#This Row],[Not retrieved]]=TRUE),TRUE,FALSE)</f>
        <v>1</v>
      </c>
      <c r="M18" s="1"/>
      <c r="N18" s="1"/>
      <c r="O18" s="1"/>
      <c r="P18" s="1"/>
      <c r="Q18" s="1"/>
      <c r="R18" s="1"/>
      <c r="S18" s="1"/>
      <c r="T18" s="1"/>
      <c r="U18" s="1"/>
      <c r="V18" s="1"/>
      <c r="W18" s="1"/>
      <c r="X18" s="1"/>
      <c r="Y18" s="1"/>
      <c r="Z18" s="1"/>
      <c r="AA18" s="1"/>
      <c r="AB18" s="1"/>
      <c r="AC18" s="1"/>
      <c r="AD18" s="1"/>
      <c r="AE18" s="1"/>
      <c r="AF1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8" s="1"/>
    </row>
    <row r="19" spans="1:33" ht="29" hidden="1" x14ac:dyDescent="0.35">
      <c r="A19" s="1" t="s">
        <v>53</v>
      </c>
      <c r="B19" s="7" t="s">
        <v>54</v>
      </c>
      <c r="C19" t="s">
        <v>2</v>
      </c>
      <c r="D19" t="s">
        <v>55</v>
      </c>
      <c r="E19" s="1" t="b">
        <v>0</v>
      </c>
      <c r="J19" s="1"/>
      <c r="K19" s="1"/>
      <c r="L19" s="1" t="b">
        <f>IF(OR(Table1[[#This Row],[Does not regard DAIC-WOZ]]=TRUE,Table1[[#This Row],[Does not use MAE]]=TRUE,Table1[[#This Row],[Does not introduce new model]]=TRUE,Table1[[#This Row],[Not in English]]=TRUE,Table1[[#This Row],[Not retrieved]]=TRUE),TRUE,FALSE)</f>
        <v>0</v>
      </c>
      <c r="M19" s="1" t="s">
        <v>753</v>
      </c>
      <c r="N19" s="1" t="s">
        <v>779</v>
      </c>
      <c r="O19" s="1" t="s">
        <v>753</v>
      </c>
      <c r="P19" s="1" t="s">
        <v>917</v>
      </c>
      <c r="Q19" s="1" t="s">
        <v>753</v>
      </c>
      <c r="R19" s="1" t="s">
        <v>753</v>
      </c>
      <c r="S19" s="1"/>
      <c r="T19" s="1" t="s">
        <v>769</v>
      </c>
      <c r="U19" s="1">
        <v>3.24</v>
      </c>
      <c r="V19" s="1">
        <v>3.82</v>
      </c>
      <c r="W19" s="1" t="s">
        <v>753</v>
      </c>
      <c r="X19" s="1" t="s">
        <v>753</v>
      </c>
      <c r="Y19" s="1" t="s">
        <v>753</v>
      </c>
      <c r="Z19" s="1" t="s">
        <v>753</v>
      </c>
      <c r="AA19" s="1" t="s">
        <v>773</v>
      </c>
      <c r="AB19" s="1" t="s">
        <v>773</v>
      </c>
      <c r="AC19" s="1" t="s">
        <v>753</v>
      </c>
      <c r="AD19" s="1" t="s">
        <v>773</v>
      </c>
      <c r="AE19" s="1"/>
      <c r="AF19"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9" t="s">
        <v>918</v>
      </c>
    </row>
    <row r="20" spans="1:33" ht="409.5" hidden="1" x14ac:dyDescent="0.35">
      <c r="A20" s="1" t="s">
        <v>56</v>
      </c>
      <c r="B20" s="7" t="s">
        <v>57</v>
      </c>
      <c r="C20" t="s">
        <v>2</v>
      </c>
      <c r="D20" s="1" t="s">
        <v>58</v>
      </c>
      <c r="E20" s="1" t="b">
        <v>0</v>
      </c>
      <c r="J20" s="1" t="b">
        <v>1</v>
      </c>
      <c r="K20" s="1"/>
      <c r="L20" s="1" t="b">
        <f>IF(OR(Table1[[#This Row],[Does not regard DAIC-WOZ]]=TRUE,Table1[[#This Row],[Does not use MAE]]=TRUE,Table1[[#This Row],[Does not introduce new model]]=TRUE,Table1[[#This Row],[Not in English]]=TRUE,Table1[[#This Row],[Not retrieved]]=TRUE),TRUE,FALSE)</f>
        <v>1</v>
      </c>
      <c r="M20" s="1"/>
      <c r="N20" s="1"/>
      <c r="O20" s="1"/>
      <c r="P20" s="1"/>
      <c r="Q20" s="1"/>
      <c r="R20" s="1"/>
      <c r="S20" s="1"/>
      <c r="T20" s="1"/>
      <c r="U20" s="1"/>
      <c r="V20" s="1"/>
      <c r="W20" s="1"/>
      <c r="X20" s="1"/>
      <c r="Y20" s="1"/>
      <c r="Z20" s="1"/>
      <c r="AA20" s="1"/>
      <c r="AB20" s="1"/>
      <c r="AC20" s="1"/>
      <c r="AD20" s="1"/>
      <c r="AE20" s="1"/>
      <c r="AF2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0" s="1"/>
    </row>
    <row r="21" spans="1:33" ht="58" hidden="1" x14ac:dyDescent="0.35">
      <c r="A21" s="1" t="s">
        <v>59</v>
      </c>
      <c r="B21" s="7" t="s">
        <v>60</v>
      </c>
      <c r="C21" t="s">
        <v>2</v>
      </c>
      <c r="D21" t="s">
        <v>61</v>
      </c>
      <c r="E21" s="1" t="b">
        <v>0</v>
      </c>
      <c r="J21" s="1"/>
      <c r="K21" s="1"/>
      <c r="L21" s="1" t="b">
        <f>IF(OR(Table1[[#This Row],[Does not regard DAIC-WOZ]]=TRUE,Table1[[#This Row],[Does not use MAE]]=TRUE,Table1[[#This Row],[Does not introduce new model]]=TRUE,Table1[[#This Row],[Not in English]]=TRUE,Table1[[#This Row],[Not retrieved]]=TRUE),TRUE,FALSE)</f>
        <v>0</v>
      </c>
      <c r="M21" s="1" t="s">
        <v>753</v>
      </c>
      <c r="N21" s="1" t="s">
        <v>919</v>
      </c>
      <c r="O21" s="1" t="s">
        <v>753</v>
      </c>
      <c r="P21" s="1" t="s">
        <v>753</v>
      </c>
      <c r="Q21" s="1" t="s">
        <v>753</v>
      </c>
      <c r="R21" s="1" t="s">
        <v>753</v>
      </c>
      <c r="S21" s="1"/>
      <c r="T21" s="1" t="s">
        <v>775</v>
      </c>
      <c r="U21" s="1">
        <v>3.9710000000000001</v>
      </c>
      <c r="V21" s="1">
        <v>5.141</v>
      </c>
      <c r="W21" s="1" t="s">
        <v>753</v>
      </c>
      <c r="X21" s="1" t="s">
        <v>753</v>
      </c>
      <c r="Y21" s="1" t="s">
        <v>753</v>
      </c>
      <c r="Z21" s="1" t="s">
        <v>753</v>
      </c>
      <c r="AA21" s="1" t="s">
        <v>773</v>
      </c>
      <c r="AB21" s="1" t="s">
        <v>773</v>
      </c>
      <c r="AC21" s="1" t="s">
        <v>773</v>
      </c>
      <c r="AD21" s="1" t="s">
        <v>773</v>
      </c>
      <c r="AE21" s="1"/>
      <c r="AF21"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1" t="s">
        <v>920</v>
      </c>
    </row>
    <row r="22" spans="1:33" ht="58" hidden="1" x14ac:dyDescent="0.35">
      <c r="A22" s="1" t="s">
        <v>62</v>
      </c>
      <c r="B22" s="7" t="s">
        <v>63</v>
      </c>
      <c r="C22" t="s">
        <v>2</v>
      </c>
      <c r="D22" t="s">
        <v>64</v>
      </c>
      <c r="E22" s="1" t="b">
        <v>0</v>
      </c>
      <c r="J22" s="1"/>
      <c r="K22" s="1"/>
      <c r="L22" s="1" t="b">
        <f>IF(OR(Table1[[#This Row],[Does not regard DAIC-WOZ]]=TRUE,Table1[[#This Row],[Does not use MAE]]=TRUE,Table1[[#This Row],[Does not introduce new model]]=TRUE,Table1[[#This Row],[Not in English]]=TRUE,Table1[[#This Row],[Not retrieved]]=TRUE),TRUE,FALSE)</f>
        <v>0</v>
      </c>
      <c r="M22" s="1" t="s">
        <v>753</v>
      </c>
      <c r="N22" s="1" t="s">
        <v>881</v>
      </c>
      <c r="O22" s="1" t="s">
        <v>753</v>
      </c>
      <c r="P22" s="1" t="s">
        <v>753</v>
      </c>
      <c r="Q22" s="1" t="s">
        <v>753</v>
      </c>
      <c r="R22" s="1" t="s">
        <v>753</v>
      </c>
      <c r="S22" s="1"/>
      <c r="T22" s="1" t="s">
        <v>770</v>
      </c>
      <c r="U22" s="1">
        <v>3.75</v>
      </c>
      <c r="V22" s="1">
        <v>5.0199999999999996</v>
      </c>
      <c r="W22" s="1" t="s">
        <v>921</v>
      </c>
      <c r="X22" s="1" t="s">
        <v>753</v>
      </c>
      <c r="Y22" s="1" t="s">
        <v>753</v>
      </c>
      <c r="Z22" s="1" t="s">
        <v>753</v>
      </c>
      <c r="AA22" s="1" t="s">
        <v>773</v>
      </c>
      <c r="AB22" s="1" t="s">
        <v>773</v>
      </c>
      <c r="AC22" s="1" t="s">
        <v>753</v>
      </c>
      <c r="AD22" s="1" t="s">
        <v>773</v>
      </c>
      <c r="AE22" s="1"/>
      <c r="AF22"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2" t="s">
        <v>922</v>
      </c>
    </row>
    <row r="23" spans="1:33" ht="43.5" hidden="1" x14ac:dyDescent="0.35">
      <c r="A23" s="1" t="s">
        <v>65</v>
      </c>
      <c r="B23" s="7" t="s">
        <v>66</v>
      </c>
      <c r="C23" t="s">
        <v>6</v>
      </c>
      <c r="D23" t="s">
        <v>67</v>
      </c>
      <c r="E23" s="1" t="b">
        <v>1</v>
      </c>
      <c r="J23" s="1"/>
      <c r="K23" s="1"/>
      <c r="L23" s="1" t="b">
        <f>IF(OR(Table1[[#This Row],[Does not regard DAIC-WOZ]]=TRUE,Table1[[#This Row],[Does not use MAE]]=TRUE,Table1[[#This Row],[Does not introduce new model]]=TRUE,Table1[[#This Row],[Not in English]]=TRUE,Table1[[#This Row],[Not retrieved]]=TRUE),TRUE,FALSE)</f>
        <v>0</v>
      </c>
      <c r="M23" s="1"/>
      <c r="N23" s="1"/>
      <c r="O23" s="1"/>
      <c r="P23" s="1"/>
      <c r="Q23" s="1"/>
      <c r="R23" s="1"/>
      <c r="S23" s="1"/>
      <c r="T23" s="1"/>
      <c r="U23" s="1"/>
      <c r="V23" s="1"/>
      <c r="W23" s="1"/>
      <c r="X23" s="1"/>
      <c r="Y23" s="1"/>
      <c r="Z23" s="1"/>
      <c r="AA23" s="1"/>
      <c r="AB23" s="1"/>
      <c r="AC23" s="1"/>
      <c r="AD23" s="1"/>
      <c r="AE23" s="1"/>
      <c r="AF2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 s="1"/>
    </row>
    <row r="24" spans="1:33" ht="116" hidden="1" x14ac:dyDescent="0.35">
      <c r="A24" s="1" t="s">
        <v>68</v>
      </c>
      <c r="B24" s="7" t="s">
        <v>69</v>
      </c>
      <c r="C24" t="s">
        <v>2</v>
      </c>
      <c r="D24" t="s">
        <v>70</v>
      </c>
      <c r="E24" s="1" t="b">
        <v>0</v>
      </c>
      <c r="J24" s="1"/>
      <c r="K24" s="1"/>
      <c r="L24" s="1" t="b">
        <f>IF(OR(Table1[[#This Row],[Does not regard DAIC-WOZ]]=TRUE,Table1[[#This Row],[Does not use MAE]]=TRUE,Table1[[#This Row],[Does not introduce new model]]=TRUE,Table1[[#This Row],[Not in English]]=TRUE,Table1[[#This Row],[Not retrieved]]=TRUE),TRUE,FALSE)</f>
        <v>0</v>
      </c>
      <c r="M24" s="1" t="s">
        <v>923</v>
      </c>
      <c r="N24" s="1" t="s">
        <v>779</v>
      </c>
      <c r="O24" s="1" t="s">
        <v>788</v>
      </c>
      <c r="P24" s="1" t="s">
        <v>924</v>
      </c>
      <c r="Q24" s="1" t="s">
        <v>753</v>
      </c>
      <c r="R24" s="1" t="s">
        <v>753</v>
      </c>
      <c r="S24" s="1"/>
      <c r="T24" s="1" t="s">
        <v>784</v>
      </c>
      <c r="U24" s="1">
        <v>4.4800000000000004</v>
      </c>
      <c r="V24" s="1">
        <v>5.57</v>
      </c>
      <c r="W24" s="1" t="s">
        <v>753</v>
      </c>
      <c r="X24" s="1" t="s">
        <v>753</v>
      </c>
      <c r="Y24" s="1" t="s">
        <v>753</v>
      </c>
      <c r="Z24" s="1" t="s">
        <v>753</v>
      </c>
      <c r="AA24" s="1" t="s">
        <v>773</v>
      </c>
      <c r="AB24" s="1" t="s">
        <v>778</v>
      </c>
      <c r="AC24" s="1" t="s">
        <v>773</v>
      </c>
      <c r="AD24" s="1" t="s">
        <v>773</v>
      </c>
      <c r="AE24" s="1"/>
      <c r="AF24"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4" t="s">
        <v>925</v>
      </c>
    </row>
    <row r="25" spans="1:33" ht="58" hidden="1" x14ac:dyDescent="0.35">
      <c r="A25" s="1" t="s">
        <v>71</v>
      </c>
      <c r="B25" s="7" t="s">
        <v>72</v>
      </c>
      <c r="C25" t="s">
        <v>2</v>
      </c>
      <c r="D25" t="s">
        <v>73</v>
      </c>
      <c r="E25" s="1" t="b">
        <v>0</v>
      </c>
      <c r="J25" s="1"/>
      <c r="K25" s="1"/>
      <c r="L25" s="1" t="b">
        <f>IF(OR(Table1[[#This Row],[Does not regard DAIC-WOZ]]=TRUE,Table1[[#This Row],[Does not use MAE]]=TRUE,Table1[[#This Row],[Does not introduce new model]]=TRUE,Table1[[#This Row],[Not in English]]=TRUE,Table1[[#This Row],[Not retrieved]]=TRUE),TRUE,FALSE)</f>
        <v>0</v>
      </c>
      <c r="M25" s="1" t="s">
        <v>821</v>
      </c>
      <c r="N25" s="1" t="s">
        <v>753</v>
      </c>
      <c r="O25" s="1" t="s">
        <v>753</v>
      </c>
      <c r="P25" s="1" t="s">
        <v>820</v>
      </c>
      <c r="Q25" s="1" t="s">
        <v>753</v>
      </c>
      <c r="R25" s="1" t="s">
        <v>753</v>
      </c>
      <c r="S25" s="1"/>
      <c r="T25" s="1" t="s">
        <v>769</v>
      </c>
      <c r="U25" s="1">
        <v>4.4800000000000004</v>
      </c>
      <c r="V25" s="1">
        <v>5.37</v>
      </c>
      <c r="W25" s="1" t="s">
        <v>753</v>
      </c>
      <c r="X25" s="1" t="s">
        <v>753</v>
      </c>
      <c r="Y25" s="1" t="s">
        <v>753</v>
      </c>
      <c r="Z25" s="1" t="s">
        <v>753</v>
      </c>
      <c r="AA25" s="1" t="s">
        <v>773</v>
      </c>
      <c r="AB25" s="1" t="s">
        <v>773</v>
      </c>
      <c r="AC25" s="1" t="s">
        <v>773</v>
      </c>
      <c r="AD25" s="1" t="s">
        <v>753</v>
      </c>
      <c r="AE25" s="1"/>
      <c r="AF25"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5" t="s">
        <v>819</v>
      </c>
    </row>
    <row r="26" spans="1:33" ht="87" hidden="1" x14ac:dyDescent="0.35">
      <c r="A26" s="1" t="s">
        <v>74</v>
      </c>
      <c r="B26" s="7" t="s">
        <v>75</v>
      </c>
      <c r="C26" t="s">
        <v>2</v>
      </c>
      <c r="D26" t="s">
        <v>76</v>
      </c>
      <c r="E26" s="1" t="b">
        <v>0</v>
      </c>
      <c r="J26" s="1"/>
      <c r="K26" s="1"/>
      <c r="L26" s="1" t="b">
        <f>IF(OR(Table1[[#This Row],[Does not regard DAIC-WOZ]]=TRUE,Table1[[#This Row],[Does not use MAE]]=TRUE,Table1[[#This Row],[Does not introduce new model]]=TRUE,Table1[[#This Row],[Not in English]]=TRUE,Table1[[#This Row],[Not retrieved]]=TRUE),TRUE,FALSE)</f>
        <v>0</v>
      </c>
      <c r="M26" s="1" t="s">
        <v>823</v>
      </c>
      <c r="N26" s="1" t="s">
        <v>779</v>
      </c>
      <c r="O26" s="1" t="s">
        <v>788</v>
      </c>
      <c r="P26" s="1" t="s">
        <v>822</v>
      </c>
      <c r="Q26" s="1" t="s">
        <v>753</v>
      </c>
      <c r="R26" s="1" t="s">
        <v>815</v>
      </c>
      <c r="S26" s="1"/>
      <c r="T26" s="1" t="s">
        <v>824</v>
      </c>
      <c r="U26" s="1">
        <v>2.94</v>
      </c>
      <c r="V26" s="1">
        <v>3.8</v>
      </c>
      <c r="W26" s="1" t="s">
        <v>753</v>
      </c>
      <c r="X26" s="1" t="s">
        <v>753</v>
      </c>
      <c r="Y26" s="1" t="s">
        <v>753</v>
      </c>
      <c r="Z26" s="1" t="s">
        <v>753</v>
      </c>
      <c r="AA26" s="1" t="s">
        <v>773</v>
      </c>
      <c r="AB26" s="1" t="s">
        <v>773</v>
      </c>
      <c r="AC26" s="1" t="s">
        <v>778</v>
      </c>
      <c r="AD26" s="1" t="s">
        <v>773</v>
      </c>
      <c r="AE26" s="1"/>
      <c r="AF26"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6" t="s">
        <v>825</v>
      </c>
    </row>
    <row r="27" spans="1:33" ht="43.5" hidden="1" x14ac:dyDescent="0.35">
      <c r="A27" s="1" t="s">
        <v>77</v>
      </c>
      <c r="B27" s="7" t="s">
        <v>78</v>
      </c>
      <c r="C27" t="s">
        <v>6</v>
      </c>
      <c r="D27" t="s">
        <v>79</v>
      </c>
      <c r="E27" s="1" t="b">
        <v>1</v>
      </c>
      <c r="J27" s="1"/>
      <c r="K27" s="1"/>
      <c r="L27" s="1" t="b">
        <f>IF(OR(Table1[[#This Row],[Does not regard DAIC-WOZ]]=TRUE,Table1[[#This Row],[Does not use MAE]]=TRUE,Table1[[#This Row],[Does not introduce new model]]=TRUE,Table1[[#This Row],[Not in English]]=TRUE,Table1[[#This Row],[Not retrieved]]=TRUE),TRUE,FALSE)</f>
        <v>0</v>
      </c>
      <c r="M27" s="1"/>
      <c r="N27" s="1"/>
      <c r="O27" s="1"/>
      <c r="P27" s="1"/>
      <c r="Q27" s="1"/>
      <c r="R27" s="1"/>
      <c r="S27" s="1"/>
      <c r="T27" s="1"/>
      <c r="U27" s="1"/>
      <c r="V27" s="1"/>
      <c r="W27" s="1"/>
      <c r="X27" s="1"/>
      <c r="Y27" s="1"/>
      <c r="Z27" s="1"/>
      <c r="AA27" s="1"/>
      <c r="AB27" s="1"/>
      <c r="AC27" s="1"/>
      <c r="AD27" s="1"/>
      <c r="AE27" s="1"/>
      <c r="AF2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 s="1"/>
    </row>
    <row r="28" spans="1:33" ht="43.5" hidden="1" x14ac:dyDescent="0.35">
      <c r="A28" s="1" t="s">
        <v>80</v>
      </c>
      <c r="B28" s="7" t="s">
        <v>81</v>
      </c>
      <c r="C28" t="s">
        <v>6</v>
      </c>
      <c r="D28" t="s">
        <v>82</v>
      </c>
      <c r="E28" s="1" t="b">
        <v>0</v>
      </c>
      <c r="J28" s="1"/>
      <c r="K28" s="1"/>
      <c r="L28" s="1" t="b">
        <f>IF(OR(Table1[[#This Row],[Does not regard DAIC-WOZ]]=TRUE,Table1[[#This Row],[Does not use MAE]]=TRUE,Table1[[#This Row],[Does not introduce new model]]=TRUE,Table1[[#This Row],[Not in English]]=TRUE,Table1[[#This Row],[Not retrieved]]=TRUE),TRUE,FALSE)</f>
        <v>0</v>
      </c>
      <c r="M28" s="1" t="s">
        <v>812</v>
      </c>
      <c r="N28" s="1" t="s">
        <v>753</v>
      </c>
      <c r="O28" s="1" t="s">
        <v>827</v>
      </c>
      <c r="P28" s="1" t="s">
        <v>826</v>
      </c>
      <c r="Q28" s="1" t="s">
        <v>777</v>
      </c>
      <c r="R28" s="1" t="s">
        <v>753</v>
      </c>
      <c r="S28" s="1"/>
      <c r="T28" s="1" t="s">
        <v>824</v>
      </c>
      <c r="U28" s="1" t="s">
        <v>753</v>
      </c>
      <c r="V28" s="1" t="s">
        <v>753</v>
      </c>
      <c r="W28" s="1" t="s">
        <v>753</v>
      </c>
      <c r="X28" s="1" t="s">
        <v>753</v>
      </c>
      <c r="Y28" s="1" t="s">
        <v>753</v>
      </c>
      <c r="Z28" s="1" t="s">
        <v>753</v>
      </c>
      <c r="AA28" s="1" t="s">
        <v>773</v>
      </c>
      <c r="AB28" s="1" t="s">
        <v>773</v>
      </c>
      <c r="AC28" s="1" t="s">
        <v>778</v>
      </c>
      <c r="AD28" s="1" t="s">
        <v>753</v>
      </c>
      <c r="AE28" s="1"/>
      <c r="AF28"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8" t="s">
        <v>828</v>
      </c>
    </row>
    <row r="29" spans="1:33" ht="43.5" hidden="1" x14ac:dyDescent="0.35">
      <c r="A29" s="1" t="s">
        <v>83</v>
      </c>
      <c r="B29" s="7" t="s">
        <v>84</v>
      </c>
      <c r="C29" t="s">
        <v>6</v>
      </c>
      <c r="D29" t="s">
        <v>85</v>
      </c>
      <c r="E29" s="1" t="b">
        <v>1</v>
      </c>
      <c r="J29" s="1"/>
      <c r="K29" s="1"/>
      <c r="L29" s="1" t="b">
        <f>IF(OR(Table1[[#This Row],[Does not regard DAIC-WOZ]]=TRUE,Table1[[#This Row],[Does not use MAE]]=TRUE,Table1[[#This Row],[Does not introduce new model]]=TRUE,Table1[[#This Row],[Not in English]]=TRUE,Table1[[#This Row],[Not retrieved]]=TRUE),TRUE,FALSE)</f>
        <v>0</v>
      </c>
      <c r="M29" s="1"/>
      <c r="N29" s="1"/>
      <c r="O29" s="1"/>
      <c r="P29" s="1"/>
      <c r="Q29" s="1"/>
      <c r="R29" s="1"/>
      <c r="S29" s="1"/>
      <c r="T29" s="1"/>
      <c r="U29" s="1"/>
      <c r="V29" s="1"/>
      <c r="W29" s="1"/>
      <c r="X29" s="1"/>
      <c r="Y29" s="1"/>
      <c r="Z29" s="1"/>
      <c r="AA29" s="1"/>
      <c r="AB29" s="1"/>
      <c r="AC29" s="1"/>
      <c r="AD29" s="1"/>
      <c r="AE29" s="1"/>
      <c r="AF2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 s="1"/>
    </row>
    <row r="30" spans="1:33" ht="29" hidden="1" x14ac:dyDescent="0.35">
      <c r="A30" s="1" t="s">
        <v>86</v>
      </c>
      <c r="B30" s="7" t="s">
        <v>87</v>
      </c>
      <c r="C30" t="s">
        <v>6</v>
      </c>
      <c r="D30" t="s">
        <v>88</v>
      </c>
      <c r="E30" s="1" t="b">
        <v>1</v>
      </c>
      <c r="J30" s="1"/>
      <c r="K30" s="1"/>
      <c r="L30" s="1" t="b">
        <f>IF(OR(Table1[[#This Row],[Does not regard DAIC-WOZ]]=TRUE,Table1[[#This Row],[Does not use MAE]]=TRUE,Table1[[#This Row],[Does not introduce new model]]=TRUE,Table1[[#This Row],[Not in English]]=TRUE,Table1[[#This Row],[Not retrieved]]=TRUE),TRUE,FALSE)</f>
        <v>0</v>
      </c>
      <c r="M30" s="1"/>
      <c r="N30" s="1"/>
      <c r="O30" s="1"/>
      <c r="P30" s="1"/>
      <c r="Q30" s="1"/>
      <c r="R30" s="1"/>
      <c r="S30" s="1"/>
      <c r="T30" s="1"/>
      <c r="U30" s="1"/>
      <c r="V30" s="1"/>
      <c r="W30" s="1"/>
      <c r="X30" s="1"/>
      <c r="Y30" s="1"/>
      <c r="Z30" s="1"/>
      <c r="AA30" s="1"/>
      <c r="AB30" s="1"/>
      <c r="AC30" s="1"/>
      <c r="AD30" s="1"/>
      <c r="AE30" s="1"/>
      <c r="AF3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 s="1"/>
    </row>
    <row r="31" spans="1:33" ht="409.5" hidden="1" x14ac:dyDescent="0.35">
      <c r="A31" s="1" t="s">
        <v>89</v>
      </c>
      <c r="B31" s="7" t="s">
        <v>90</v>
      </c>
      <c r="C31" t="s">
        <v>6</v>
      </c>
      <c r="D31" s="1" t="s">
        <v>91</v>
      </c>
      <c r="E31" s="1" t="b">
        <v>0</v>
      </c>
      <c r="F31" s="1" t="s">
        <v>725</v>
      </c>
      <c r="G31" s="1" t="b">
        <v>1</v>
      </c>
      <c r="J31" s="1"/>
      <c r="K31" s="1"/>
      <c r="L31" s="1" t="b">
        <f>IF(OR(Table1[[#This Row],[Does not regard DAIC-WOZ]]=TRUE,Table1[[#This Row],[Does not use MAE]]=TRUE,Table1[[#This Row],[Does not introduce new model]]=TRUE,Table1[[#This Row],[Not in English]]=TRUE,Table1[[#This Row],[Not retrieved]]=TRUE),TRUE,FALSE)</f>
        <v>1</v>
      </c>
      <c r="M31" s="1"/>
      <c r="N31" s="1"/>
      <c r="O31" s="1"/>
      <c r="P31" s="1"/>
      <c r="Q31" s="1"/>
      <c r="R31" s="1"/>
      <c r="S31" s="1"/>
      <c r="T31" s="1"/>
      <c r="U31" s="1"/>
      <c r="V31" s="1"/>
      <c r="W31" s="1"/>
      <c r="X31" s="1"/>
      <c r="Y31" s="1"/>
      <c r="Z31" s="1"/>
      <c r="AA31" s="1"/>
      <c r="AB31" s="1"/>
      <c r="AC31" s="1"/>
      <c r="AD31" s="1"/>
      <c r="AE31" s="1"/>
      <c r="AF3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 s="1"/>
    </row>
    <row r="32" spans="1:33" ht="43.5" hidden="1" x14ac:dyDescent="0.35">
      <c r="A32" s="1" t="s">
        <v>92</v>
      </c>
      <c r="B32" s="7" t="s">
        <v>93</v>
      </c>
      <c r="C32" t="s">
        <v>6</v>
      </c>
      <c r="D32" t="s">
        <v>94</v>
      </c>
      <c r="E32" s="1" t="b">
        <v>1</v>
      </c>
      <c r="J32" s="1"/>
      <c r="K32" s="1"/>
      <c r="L32" s="1" t="b">
        <f>IF(OR(Table1[[#This Row],[Does not regard DAIC-WOZ]]=TRUE,Table1[[#This Row],[Does not use MAE]]=TRUE,Table1[[#This Row],[Does not introduce new model]]=TRUE,Table1[[#This Row],[Not in English]]=TRUE,Table1[[#This Row],[Not retrieved]]=TRUE),TRUE,FALSE)</f>
        <v>0</v>
      </c>
      <c r="M32" s="1"/>
      <c r="N32" s="1"/>
      <c r="O32" s="1"/>
      <c r="P32" s="1"/>
      <c r="Q32" s="1"/>
      <c r="R32" s="1"/>
      <c r="S32" s="1"/>
      <c r="T32" s="1"/>
      <c r="U32" s="1"/>
      <c r="V32" s="1"/>
      <c r="W32" s="1"/>
      <c r="X32" s="1"/>
      <c r="Y32" s="1"/>
      <c r="Z32" s="1"/>
      <c r="AA32" s="1"/>
      <c r="AB32" s="1"/>
      <c r="AC32" s="1"/>
      <c r="AD32" s="1"/>
      <c r="AE32" s="1"/>
      <c r="AF3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 s="1"/>
    </row>
    <row r="33" spans="1:33" ht="43.5" hidden="1" x14ac:dyDescent="0.35">
      <c r="A33" s="1" t="s">
        <v>95</v>
      </c>
      <c r="B33" s="7" t="s">
        <v>96</v>
      </c>
      <c r="C33" t="s">
        <v>6</v>
      </c>
      <c r="D33" t="s">
        <v>97</v>
      </c>
      <c r="E33" s="1" t="b">
        <v>1</v>
      </c>
      <c r="J33" s="1"/>
      <c r="K33" s="1"/>
      <c r="L33" s="1" t="b">
        <f>IF(OR(Table1[[#This Row],[Does not regard DAIC-WOZ]]=TRUE,Table1[[#This Row],[Does not use MAE]]=TRUE,Table1[[#This Row],[Does not introduce new model]]=TRUE,Table1[[#This Row],[Not in English]]=TRUE,Table1[[#This Row],[Not retrieved]]=TRUE),TRUE,FALSE)</f>
        <v>0</v>
      </c>
      <c r="M33" s="1"/>
      <c r="N33" s="1"/>
      <c r="O33" s="1"/>
      <c r="P33" s="1"/>
      <c r="Q33" s="1"/>
      <c r="R33" s="1"/>
      <c r="S33" s="1"/>
      <c r="T33" s="1"/>
      <c r="U33" s="1"/>
      <c r="V33" s="1"/>
      <c r="W33" s="1"/>
      <c r="X33" s="1"/>
      <c r="Y33" s="1"/>
      <c r="Z33" s="1"/>
      <c r="AA33" s="1"/>
      <c r="AB33" s="1"/>
      <c r="AC33" s="1"/>
      <c r="AD33" s="1"/>
      <c r="AE33" s="1"/>
      <c r="AF3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 s="1"/>
    </row>
    <row r="34" spans="1:33" ht="29" hidden="1" x14ac:dyDescent="0.35">
      <c r="A34" s="1" t="s">
        <v>98</v>
      </c>
      <c r="B34" s="7" t="s">
        <v>99</v>
      </c>
      <c r="C34" t="s">
        <v>6</v>
      </c>
      <c r="D34" t="s">
        <v>100</v>
      </c>
      <c r="E34" s="1" t="b">
        <v>1</v>
      </c>
      <c r="J34" s="1"/>
      <c r="K34" s="1"/>
      <c r="L34" s="1" t="b">
        <f>IF(OR(Table1[[#This Row],[Does not regard DAIC-WOZ]]=TRUE,Table1[[#This Row],[Does not use MAE]]=TRUE,Table1[[#This Row],[Does not introduce new model]]=TRUE,Table1[[#This Row],[Not in English]]=TRUE,Table1[[#This Row],[Not retrieved]]=TRUE),TRUE,FALSE)</f>
        <v>0</v>
      </c>
      <c r="M34" s="1"/>
      <c r="N34" s="1"/>
      <c r="O34" s="1"/>
      <c r="P34" s="1"/>
      <c r="Q34" s="1"/>
      <c r="R34" s="1"/>
      <c r="S34" s="1"/>
      <c r="T34" s="1"/>
      <c r="U34" s="1"/>
      <c r="V34" s="1"/>
      <c r="W34" s="1"/>
      <c r="X34" s="1"/>
      <c r="Y34" s="1"/>
      <c r="Z34" s="1"/>
      <c r="AA34" s="1"/>
      <c r="AB34" s="1"/>
      <c r="AC34" s="1"/>
      <c r="AD34" s="1"/>
      <c r="AE34" s="1"/>
      <c r="AF3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4" s="1"/>
    </row>
    <row r="35" spans="1:33" ht="29" hidden="1" x14ac:dyDescent="0.35">
      <c r="A35" s="1" t="s">
        <v>101</v>
      </c>
      <c r="B35" s="7" t="s">
        <v>102</v>
      </c>
      <c r="C35" t="s">
        <v>6</v>
      </c>
      <c r="D35" t="s">
        <v>103</v>
      </c>
      <c r="E35" s="1" t="b">
        <v>1</v>
      </c>
      <c r="J35" s="1"/>
      <c r="K35" s="1"/>
      <c r="L35" s="1" t="b">
        <f>IF(OR(Table1[[#This Row],[Does not regard DAIC-WOZ]]=TRUE,Table1[[#This Row],[Does not use MAE]]=TRUE,Table1[[#This Row],[Does not introduce new model]]=TRUE,Table1[[#This Row],[Not in English]]=TRUE,Table1[[#This Row],[Not retrieved]]=TRUE),TRUE,FALSE)</f>
        <v>0</v>
      </c>
      <c r="M35" s="1"/>
      <c r="N35" s="1"/>
      <c r="O35" s="1"/>
      <c r="P35" s="1"/>
      <c r="Q35" s="1"/>
      <c r="R35" s="1"/>
      <c r="S35" s="1"/>
      <c r="T35" s="1"/>
      <c r="U35" s="1"/>
      <c r="V35" s="1"/>
      <c r="W35" s="1"/>
      <c r="X35" s="1"/>
      <c r="Y35" s="1"/>
      <c r="Z35" s="1"/>
      <c r="AA35" s="1"/>
      <c r="AB35" s="1"/>
      <c r="AC35" s="1"/>
      <c r="AD35" s="1"/>
      <c r="AE35" s="1"/>
      <c r="AF3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5" s="1"/>
    </row>
    <row r="36" spans="1:33" ht="43.5" hidden="1" x14ac:dyDescent="0.35">
      <c r="A36" s="1" t="s">
        <v>104</v>
      </c>
      <c r="B36" s="7" t="s">
        <v>105</v>
      </c>
      <c r="C36" t="s">
        <v>6</v>
      </c>
      <c r="D36" t="s">
        <v>106</v>
      </c>
      <c r="E36" s="1" t="b">
        <v>1</v>
      </c>
      <c r="J36" s="1"/>
      <c r="K36" s="1"/>
      <c r="L36" s="1" t="b">
        <f>IF(OR(Table1[[#This Row],[Does not regard DAIC-WOZ]]=TRUE,Table1[[#This Row],[Does not use MAE]]=TRUE,Table1[[#This Row],[Does not introduce new model]]=TRUE,Table1[[#This Row],[Not in English]]=TRUE,Table1[[#This Row],[Not retrieved]]=TRUE),TRUE,FALSE)</f>
        <v>0</v>
      </c>
      <c r="M36" s="1"/>
      <c r="N36" s="1"/>
      <c r="O36" s="1"/>
      <c r="P36" s="1"/>
      <c r="Q36" s="1"/>
      <c r="R36" s="1"/>
      <c r="S36" s="1"/>
      <c r="T36" s="1"/>
      <c r="U36" s="1"/>
      <c r="V36" s="1"/>
      <c r="W36" s="1"/>
      <c r="X36" s="1"/>
      <c r="Y36" s="1"/>
      <c r="Z36" s="1"/>
      <c r="AA36" s="1"/>
      <c r="AB36" s="1"/>
      <c r="AC36" s="1"/>
      <c r="AD36" s="1"/>
      <c r="AE36" s="1"/>
      <c r="AF3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6" s="1"/>
    </row>
    <row r="37" spans="1:33" ht="43.5" hidden="1" x14ac:dyDescent="0.35">
      <c r="A37" s="1" t="s">
        <v>107</v>
      </c>
      <c r="B37" s="7" t="s">
        <v>108</v>
      </c>
      <c r="C37" t="s">
        <v>2</v>
      </c>
      <c r="D37" t="s">
        <v>109</v>
      </c>
      <c r="E37" s="1" t="b">
        <v>0</v>
      </c>
      <c r="J37" s="1"/>
      <c r="K37" s="1"/>
      <c r="L37" s="1" t="b">
        <f>IF(OR(Table1[[#This Row],[Does not regard DAIC-WOZ]]=TRUE,Table1[[#This Row],[Does not use MAE]]=TRUE,Table1[[#This Row],[Does not introduce new model]]=TRUE,Table1[[#This Row],[Not in English]]=TRUE,Table1[[#This Row],[Not retrieved]]=TRUE),TRUE,FALSE)</f>
        <v>0</v>
      </c>
      <c r="M37" s="1" t="s">
        <v>829</v>
      </c>
      <c r="N37" s="1" t="s">
        <v>779</v>
      </c>
      <c r="O37" s="1" t="s">
        <v>766</v>
      </c>
      <c r="P37" s="1" t="s">
        <v>830</v>
      </c>
      <c r="Q37" s="1" t="s">
        <v>753</v>
      </c>
      <c r="R37" s="1" t="s">
        <v>800</v>
      </c>
      <c r="S37" s="1"/>
      <c r="T37" s="1" t="s">
        <v>784</v>
      </c>
      <c r="U37" s="1">
        <v>2.4769999999999999</v>
      </c>
      <c r="V37" s="1">
        <v>3.0880000000000001</v>
      </c>
      <c r="W37" s="1" t="s">
        <v>753</v>
      </c>
      <c r="X37" s="1">
        <v>4.359</v>
      </c>
      <c r="Y37" s="1">
        <v>5.4</v>
      </c>
      <c r="Z37" s="1" t="s">
        <v>753</v>
      </c>
      <c r="AA37" s="1" t="s">
        <v>773</v>
      </c>
      <c r="AB37" s="1" t="s">
        <v>773</v>
      </c>
      <c r="AC37" s="1" t="s">
        <v>773</v>
      </c>
      <c r="AD37" s="1" t="s">
        <v>773</v>
      </c>
      <c r="AE37" s="1"/>
      <c r="AF37"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37" t="s">
        <v>831</v>
      </c>
    </row>
    <row r="38" spans="1:33" ht="43.5" hidden="1" x14ac:dyDescent="0.35">
      <c r="A38" s="1" t="s">
        <v>110</v>
      </c>
      <c r="B38" s="7" t="s">
        <v>111</v>
      </c>
      <c r="C38" t="s">
        <v>2</v>
      </c>
      <c r="D38" t="s">
        <v>112</v>
      </c>
      <c r="E38" s="1" t="b">
        <v>1</v>
      </c>
      <c r="J38" s="1"/>
      <c r="K38" s="1"/>
      <c r="L38" s="1" t="b">
        <f>IF(OR(Table1[[#This Row],[Does not regard DAIC-WOZ]]=TRUE,Table1[[#This Row],[Does not use MAE]]=TRUE,Table1[[#This Row],[Does not introduce new model]]=TRUE,Table1[[#This Row],[Not in English]]=TRUE,Table1[[#This Row],[Not retrieved]]=TRUE),TRUE,FALSE)</f>
        <v>0</v>
      </c>
      <c r="M38" s="1"/>
      <c r="N38" s="1"/>
      <c r="O38" s="1"/>
      <c r="P38" s="1"/>
      <c r="Q38" s="1"/>
      <c r="R38" s="1"/>
      <c r="S38" s="1"/>
      <c r="T38" s="1"/>
      <c r="U38" s="1"/>
      <c r="V38" s="1"/>
      <c r="W38" s="1"/>
      <c r="X38" s="1"/>
      <c r="Y38" s="1"/>
      <c r="Z38" s="1"/>
      <c r="AA38" s="1"/>
      <c r="AB38" s="1"/>
      <c r="AC38" s="1"/>
      <c r="AD38" s="1"/>
      <c r="AE38" s="1"/>
      <c r="AF3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8" s="1"/>
    </row>
    <row r="39" spans="1:33" ht="130.5" x14ac:dyDescent="0.35">
      <c r="A39" s="1" t="s">
        <v>113</v>
      </c>
      <c r="B39" s="7" t="s">
        <v>114</v>
      </c>
      <c r="C39" t="s">
        <v>2</v>
      </c>
      <c r="D39" t="s">
        <v>115</v>
      </c>
      <c r="E39" s="1" t="b">
        <v>0</v>
      </c>
      <c r="J39" s="1"/>
      <c r="K39" s="1"/>
      <c r="L39" s="1" t="b">
        <f>IF(OR(Table1[[#This Row],[Does not regard DAIC-WOZ]]=TRUE,Table1[[#This Row],[Does not use MAE]]=TRUE,Table1[[#This Row],[Does not introduce new model]]=TRUE,Table1[[#This Row],[Not in English]]=TRUE,Table1[[#This Row],[Not retrieved]]=TRUE),TRUE,FALSE)</f>
        <v>0</v>
      </c>
      <c r="M39" s="1" t="s">
        <v>835</v>
      </c>
      <c r="N39" s="1" t="s">
        <v>779</v>
      </c>
      <c r="O39" s="1" t="s">
        <v>788</v>
      </c>
      <c r="P39" s="1" t="s">
        <v>834</v>
      </c>
      <c r="Q39" s="1" t="s">
        <v>833</v>
      </c>
      <c r="R39" s="1" t="s">
        <v>832</v>
      </c>
      <c r="S39" s="1"/>
      <c r="T39" s="1" t="s">
        <v>770</v>
      </c>
      <c r="U39" s="1" t="s">
        <v>836</v>
      </c>
      <c r="V39" s="1" t="s">
        <v>753</v>
      </c>
      <c r="W39" s="1" t="s">
        <v>753</v>
      </c>
      <c r="X39" s="1" t="s">
        <v>838</v>
      </c>
      <c r="Y39" s="1" t="s">
        <v>753</v>
      </c>
      <c r="Z39" s="1" t="s">
        <v>753</v>
      </c>
      <c r="AA39" s="1" t="s">
        <v>778</v>
      </c>
      <c r="AB39" s="1" t="s">
        <v>778</v>
      </c>
      <c r="AC39" s="1" t="s">
        <v>778</v>
      </c>
      <c r="AD39" s="1" t="s">
        <v>773</v>
      </c>
      <c r="AE39" s="1"/>
      <c r="AF39"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1</v>
      </c>
      <c r="AG39" t="s">
        <v>837</v>
      </c>
    </row>
    <row r="40" spans="1:33" hidden="1" x14ac:dyDescent="0.35">
      <c r="A40" s="1" t="s">
        <v>116</v>
      </c>
      <c r="B40" s="7" t="s">
        <v>117</v>
      </c>
      <c r="C40" t="s">
        <v>6</v>
      </c>
      <c r="D40" t="s">
        <v>118</v>
      </c>
      <c r="E40" s="1" t="b">
        <v>1</v>
      </c>
      <c r="J40" s="1"/>
      <c r="K40" s="1"/>
      <c r="L40" s="1" t="b">
        <f>IF(OR(Table1[[#This Row],[Does not regard DAIC-WOZ]]=TRUE,Table1[[#This Row],[Does not use MAE]]=TRUE,Table1[[#This Row],[Does not introduce new model]]=TRUE,Table1[[#This Row],[Not in English]]=TRUE,Table1[[#This Row],[Not retrieved]]=TRUE),TRUE,FALSE)</f>
        <v>0</v>
      </c>
      <c r="M40" s="1"/>
      <c r="N40" s="1"/>
      <c r="O40" s="1"/>
      <c r="P40" s="1"/>
      <c r="Q40" s="1"/>
      <c r="R40" s="1"/>
      <c r="S40" s="1"/>
      <c r="T40" s="1"/>
      <c r="U40" s="1"/>
      <c r="V40" s="1"/>
      <c r="W40" s="1"/>
      <c r="X40" s="1"/>
      <c r="Y40" s="1"/>
      <c r="Z40" s="1"/>
      <c r="AA40" s="1"/>
      <c r="AB40" s="1"/>
      <c r="AC40" s="1"/>
      <c r="AD40" s="1"/>
      <c r="AE40" s="1"/>
      <c r="AF4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0" s="1"/>
    </row>
    <row r="41" spans="1:33" ht="43.5" hidden="1" x14ac:dyDescent="0.35">
      <c r="A41" s="1" t="s">
        <v>119</v>
      </c>
      <c r="B41" s="7" t="s">
        <v>120</v>
      </c>
      <c r="C41" t="s">
        <v>6</v>
      </c>
      <c r="D41" t="s">
        <v>121</v>
      </c>
      <c r="E41" s="1" t="b">
        <v>1</v>
      </c>
      <c r="J41" s="1"/>
      <c r="K41" s="1"/>
      <c r="L41" s="1" t="b">
        <f>IF(OR(Table1[[#This Row],[Does not regard DAIC-WOZ]]=TRUE,Table1[[#This Row],[Does not use MAE]]=TRUE,Table1[[#This Row],[Does not introduce new model]]=TRUE,Table1[[#This Row],[Not in English]]=TRUE,Table1[[#This Row],[Not retrieved]]=TRUE),TRUE,FALSE)</f>
        <v>0</v>
      </c>
      <c r="M41" s="1"/>
      <c r="N41" s="1"/>
      <c r="O41" s="1"/>
      <c r="P41" s="1"/>
      <c r="Q41" s="1"/>
      <c r="R41" s="1"/>
      <c r="S41" s="1"/>
      <c r="T41" s="1"/>
      <c r="U41" s="1"/>
      <c r="V41" s="1"/>
      <c r="W41" s="1"/>
      <c r="X41" s="1"/>
      <c r="Y41" s="1"/>
      <c r="Z41" s="1"/>
      <c r="AA41" s="1"/>
      <c r="AB41" s="1"/>
      <c r="AC41" s="1"/>
      <c r="AD41" s="1"/>
      <c r="AE41" s="1"/>
      <c r="AF4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1" s="1"/>
    </row>
    <row r="42" spans="1:33" hidden="1" x14ac:dyDescent="0.35">
      <c r="A42" s="1" t="s">
        <v>122</v>
      </c>
      <c r="B42" s="7" t="s">
        <v>123</v>
      </c>
      <c r="C42" t="s">
        <v>6</v>
      </c>
      <c r="D42" t="s">
        <v>124</v>
      </c>
      <c r="E42" s="1" t="b">
        <v>1</v>
      </c>
      <c r="J42" s="1"/>
      <c r="K42" s="1"/>
      <c r="L42" s="1" t="b">
        <f>IF(OR(Table1[[#This Row],[Does not regard DAIC-WOZ]]=TRUE,Table1[[#This Row],[Does not use MAE]]=TRUE,Table1[[#This Row],[Does not introduce new model]]=TRUE,Table1[[#This Row],[Not in English]]=TRUE,Table1[[#This Row],[Not retrieved]]=TRUE),TRUE,FALSE)</f>
        <v>0</v>
      </c>
      <c r="M42" s="1"/>
      <c r="N42" s="1"/>
      <c r="O42" s="1"/>
      <c r="P42" s="1"/>
      <c r="Q42" s="1"/>
      <c r="R42" s="1"/>
      <c r="S42" s="1"/>
      <c r="T42" s="1"/>
      <c r="U42" s="1"/>
      <c r="V42" s="1"/>
      <c r="W42" s="1"/>
      <c r="X42" s="1"/>
      <c r="Y42" s="1"/>
      <c r="Z42" s="1"/>
      <c r="AA42" s="1"/>
      <c r="AB42" s="1"/>
      <c r="AC42" s="1"/>
      <c r="AD42" s="1"/>
      <c r="AE42" s="1"/>
      <c r="AF4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2" s="1"/>
    </row>
    <row r="43" spans="1:33" ht="29" hidden="1" x14ac:dyDescent="0.35">
      <c r="A43" s="1" t="s">
        <v>125</v>
      </c>
      <c r="B43" s="7" t="s">
        <v>126</v>
      </c>
      <c r="C43" t="s">
        <v>6</v>
      </c>
      <c r="D43" t="s">
        <v>127</v>
      </c>
      <c r="E43" s="1" t="b">
        <v>1</v>
      </c>
      <c r="J43" s="1"/>
      <c r="K43" s="1"/>
      <c r="L43" s="1" t="b">
        <f>IF(OR(Table1[[#This Row],[Does not regard DAIC-WOZ]]=TRUE,Table1[[#This Row],[Does not use MAE]]=TRUE,Table1[[#This Row],[Does not introduce new model]]=TRUE,Table1[[#This Row],[Not in English]]=TRUE,Table1[[#This Row],[Not retrieved]]=TRUE),TRUE,FALSE)</f>
        <v>0</v>
      </c>
      <c r="M43" s="1"/>
      <c r="N43" s="1"/>
      <c r="O43" s="1"/>
      <c r="P43" s="1"/>
      <c r="Q43" s="1"/>
      <c r="R43" s="1"/>
      <c r="S43" s="1"/>
      <c r="T43" s="1"/>
      <c r="U43" s="1"/>
      <c r="V43" s="1"/>
      <c r="W43" s="1"/>
      <c r="X43" s="1"/>
      <c r="Y43" s="1"/>
      <c r="Z43" s="1"/>
      <c r="AA43" s="1"/>
      <c r="AB43" s="1"/>
      <c r="AC43" s="1"/>
      <c r="AD43" s="1"/>
      <c r="AE43" s="1"/>
      <c r="AF4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3" s="1"/>
    </row>
    <row r="44" spans="1:33" ht="58" hidden="1" x14ac:dyDescent="0.35">
      <c r="A44" s="1" t="s">
        <v>128</v>
      </c>
      <c r="B44" s="7" t="s">
        <v>129</v>
      </c>
      <c r="C44" t="s">
        <v>2</v>
      </c>
      <c r="D44" t="s">
        <v>130</v>
      </c>
      <c r="E44" s="1" t="b">
        <v>0</v>
      </c>
      <c r="J44" s="1"/>
      <c r="K44" s="1"/>
      <c r="L44" s="1" t="b">
        <f>IF(OR(Table1[[#This Row],[Does not regard DAIC-WOZ]]=TRUE,Table1[[#This Row],[Does not use MAE]]=TRUE,Table1[[#This Row],[Does not introduce new model]]=TRUE,Table1[[#This Row],[Not in English]]=TRUE,Table1[[#This Row],[Not retrieved]]=TRUE),TRUE,FALSE)</f>
        <v>0</v>
      </c>
      <c r="M44" s="1" t="s">
        <v>842</v>
      </c>
      <c r="N44" s="1" t="s">
        <v>839</v>
      </c>
      <c r="O44" s="1" t="s">
        <v>841</v>
      </c>
      <c r="P44" s="1" t="s">
        <v>840</v>
      </c>
      <c r="Q44" s="1" t="s">
        <v>753</v>
      </c>
      <c r="R44" s="1" t="s">
        <v>753</v>
      </c>
      <c r="S44" s="1"/>
      <c r="T44" s="1" t="s">
        <v>769</v>
      </c>
      <c r="U44" s="1">
        <v>1.25</v>
      </c>
      <c r="V44" s="1">
        <v>2.15</v>
      </c>
      <c r="W44" s="1" t="s">
        <v>753</v>
      </c>
      <c r="X44" s="1" t="s">
        <v>753</v>
      </c>
      <c r="Y44" s="1" t="s">
        <v>753</v>
      </c>
      <c r="Z44" s="1" t="s">
        <v>753</v>
      </c>
      <c r="AA44" s="1" t="s">
        <v>773</v>
      </c>
      <c r="AB44" s="1" t="s">
        <v>773</v>
      </c>
      <c r="AC44" s="1" t="s">
        <v>778</v>
      </c>
      <c r="AD44" s="1" t="s">
        <v>778</v>
      </c>
      <c r="AE44" s="1"/>
      <c r="AF44"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44" t="s">
        <v>843</v>
      </c>
    </row>
    <row r="45" spans="1:33" ht="43.5" hidden="1" x14ac:dyDescent="0.35">
      <c r="A45" s="1" t="s">
        <v>131</v>
      </c>
      <c r="B45" s="7" t="s">
        <v>132</v>
      </c>
      <c r="C45" t="s">
        <v>6</v>
      </c>
      <c r="D45" t="s">
        <v>133</v>
      </c>
      <c r="E45" s="1" t="b">
        <v>1</v>
      </c>
      <c r="J45" s="1"/>
      <c r="K45" s="1"/>
      <c r="L45" s="1" t="b">
        <f>IF(OR(Table1[[#This Row],[Does not regard DAIC-WOZ]]=TRUE,Table1[[#This Row],[Does not use MAE]]=TRUE,Table1[[#This Row],[Does not introduce new model]]=TRUE,Table1[[#This Row],[Not in English]]=TRUE,Table1[[#This Row],[Not retrieved]]=TRUE),TRUE,FALSE)</f>
        <v>0</v>
      </c>
      <c r="M45" s="1"/>
      <c r="N45" s="1"/>
      <c r="O45" s="1"/>
      <c r="P45" s="1"/>
      <c r="Q45" s="1"/>
      <c r="R45" s="1"/>
      <c r="S45" s="1"/>
      <c r="T45" s="1"/>
      <c r="U45" s="1"/>
      <c r="V45" s="1"/>
      <c r="W45" s="1"/>
      <c r="X45" s="1"/>
      <c r="Y45" s="1"/>
      <c r="Z45" s="1"/>
      <c r="AA45" s="1"/>
      <c r="AB45" s="1"/>
      <c r="AC45" s="1"/>
      <c r="AD45" s="1"/>
      <c r="AE45" s="1"/>
      <c r="AF4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5" s="1"/>
    </row>
    <row r="46" spans="1:33" ht="58" hidden="1" x14ac:dyDescent="0.35">
      <c r="A46" s="1" t="s">
        <v>134</v>
      </c>
      <c r="B46" s="7" t="s">
        <v>135</v>
      </c>
      <c r="C46" t="s">
        <v>6</v>
      </c>
      <c r="D46" t="s">
        <v>136</v>
      </c>
      <c r="E46" s="1" t="b">
        <v>1</v>
      </c>
      <c r="J46" s="1"/>
      <c r="K46" s="1"/>
      <c r="L46" s="1" t="b">
        <f>IF(OR(Table1[[#This Row],[Does not regard DAIC-WOZ]]=TRUE,Table1[[#This Row],[Does not use MAE]]=TRUE,Table1[[#This Row],[Does not introduce new model]]=TRUE,Table1[[#This Row],[Not in English]]=TRUE,Table1[[#This Row],[Not retrieved]]=TRUE),TRUE,FALSE)</f>
        <v>0</v>
      </c>
      <c r="M46" s="1"/>
      <c r="N46" s="1"/>
      <c r="O46" s="1"/>
      <c r="P46" s="1"/>
      <c r="Q46" s="1"/>
      <c r="R46" s="1"/>
      <c r="S46" s="1"/>
      <c r="T46" s="1"/>
      <c r="U46" s="1"/>
      <c r="V46" s="1"/>
      <c r="W46" s="1"/>
      <c r="X46" s="1"/>
      <c r="Y46" s="1"/>
      <c r="Z46" s="1"/>
      <c r="AA46" s="1"/>
      <c r="AB46" s="1"/>
      <c r="AC46" s="1"/>
      <c r="AD46" s="1"/>
      <c r="AE46" s="1"/>
      <c r="AF4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6" s="1"/>
    </row>
    <row r="47" spans="1:33" ht="29" hidden="1" x14ac:dyDescent="0.35">
      <c r="A47" s="1" t="s">
        <v>137</v>
      </c>
      <c r="B47" s="7" t="s">
        <v>138</v>
      </c>
      <c r="C47" t="s">
        <v>6</v>
      </c>
      <c r="D47" t="s">
        <v>139</v>
      </c>
      <c r="E47" s="1" t="b">
        <v>1</v>
      </c>
      <c r="J47" s="1"/>
      <c r="K47" s="1"/>
      <c r="L47" s="1" t="b">
        <f>IF(OR(Table1[[#This Row],[Does not regard DAIC-WOZ]]=TRUE,Table1[[#This Row],[Does not use MAE]]=TRUE,Table1[[#This Row],[Does not introduce new model]]=TRUE,Table1[[#This Row],[Not in English]]=TRUE,Table1[[#This Row],[Not retrieved]]=TRUE),TRUE,FALSE)</f>
        <v>0</v>
      </c>
      <c r="M47" s="1"/>
      <c r="N47" s="1"/>
      <c r="O47" s="1"/>
      <c r="P47" s="1"/>
      <c r="Q47" s="1"/>
      <c r="R47" s="1"/>
      <c r="S47" s="1"/>
      <c r="T47" s="1"/>
      <c r="U47" s="1"/>
      <c r="V47" s="1"/>
      <c r="W47" s="1"/>
      <c r="X47" s="1"/>
      <c r="Y47" s="1"/>
      <c r="Z47" s="1"/>
      <c r="AA47" s="1"/>
      <c r="AB47" s="1"/>
      <c r="AC47" s="1"/>
      <c r="AD47" s="1"/>
      <c r="AE47" s="1"/>
      <c r="AF4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7" s="1"/>
    </row>
    <row r="48" spans="1:33" ht="29" hidden="1" x14ac:dyDescent="0.35">
      <c r="A48" s="1" t="s">
        <v>140</v>
      </c>
      <c r="B48" s="7" t="s">
        <v>141</v>
      </c>
      <c r="C48" t="s">
        <v>6</v>
      </c>
      <c r="D48" t="s">
        <v>142</v>
      </c>
      <c r="E48" s="1" t="b">
        <v>1</v>
      </c>
      <c r="J48" s="1"/>
      <c r="K48" s="1"/>
      <c r="L48" s="1" t="b">
        <f>IF(OR(Table1[[#This Row],[Does not regard DAIC-WOZ]]=TRUE,Table1[[#This Row],[Does not use MAE]]=TRUE,Table1[[#This Row],[Does not introduce new model]]=TRUE,Table1[[#This Row],[Not in English]]=TRUE,Table1[[#This Row],[Not retrieved]]=TRUE),TRUE,FALSE)</f>
        <v>0</v>
      </c>
      <c r="M48" s="1"/>
      <c r="N48" s="1"/>
      <c r="O48" s="1"/>
      <c r="P48" s="1"/>
      <c r="Q48" s="1"/>
      <c r="R48" s="1"/>
      <c r="S48" s="1"/>
      <c r="T48" s="1"/>
      <c r="U48" s="1"/>
      <c r="V48" s="1"/>
      <c r="W48" s="1"/>
      <c r="X48" s="1"/>
      <c r="Y48" s="1"/>
      <c r="Z48" s="1"/>
      <c r="AA48" s="1"/>
      <c r="AB48" s="1"/>
      <c r="AC48" s="1"/>
      <c r="AD48" s="1"/>
      <c r="AE48" s="1"/>
      <c r="AF4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8" s="1"/>
    </row>
    <row r="49" spans="1:33" hidden="1" x14ac:dyDescent="0.35">
      <c r="A49" s="1" t="s">
        <v>143</v>
      </c>
      <c r="B49" s="7" t="s">
        <v>144</v>
      </c>
      <c r="C49" t="s">
        <v>6</v>
      </c>
      <c r="D49" t="s">
        <v>145</v>
      </c>
      <c r="E49" s="1" t="b">
        <v>1</v>
      </c>
      <c r="J49" s="1"/>
      <c r="K49" s="1"/>
      <c r="L49" s="1" t="b">
        <f>IF(OR(Table1[[#This Row],[Does not regard DAIC-WOZ]]=TRUE,Table1[[#This Row],[Does not use MAE]]=TRUE,Table1[[#This Row],[Does not introduce new model]]=TRUE,Table1[[#This Row],[Not in English]]=TRUE,Table1[[#This Row],[Not retrieved]]=TRUE),TRUE,FALSE)</f>
        <v>0</v>
      </c>
      <c r="M49" s="1"/>
      <c r="N49" s="1"/>
      <c r="O49" s="1"/>
      <c r="P49" s="1"/>
      <c r="Q49" s="1"/>
      <c r="R49" s="1"/>
      <c r="S49" s="1"/>
      <c r="T49" s="1"/>
      <c r="U49" s="1"/>
      <c r="V49" s="1"/>
      <c r="W49" s="1"/>
      <c r="X49" s="1"/>
      <c r="Y49" s="1"/>
      <c r="Z49" s="1"/>
      <c r="AA49" s="1"/>
      <c r="AB49" s="1"/>
      <c r="AC49" s="1"/>
      <c r="AD49" s="1"/>
      <c r="AE49" s="1"/>
      <c r="AF4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49" s="1"/>
    </row>
    <row r="50" spans="1:33" hidden="1" x14ac:dyDescent="0.35">
      <c r="A50" s="1" t="s">
        <v>146</v>
      </c>
      <c r="B50" s="7" t="s">
        <v>147</v>
      </c>
      <c r="C50" t="s">
        <v>6</v>
      </c>
      <c r="D50" t="s">
        <v>148</v>
      </c>
      <c r="E50" s="1" t="b">
        <v>1</v>
      </c>
      <c r="J50" s="1"/>
      <c r="K50" s="1"/>
      <c r="L50" s="1" t="b">
        <f>IF(OR(Table1[[#This Row],[Does not regard DAIC-WOZ]]=TRUE,Table1[[#This Row],[Does not use MAE]]=TRUE,Table1[[#This Row],[Does not introduce new model]]=TRUE,Table1[[#This Row],[Not in English]]=TRUE,Table1[[#This Row],[Not retrieved]]=TRUE),TRUE,FALSE)</f>
        <v>0</v>
      </c>
      <c r="M50" s="1"/>
      <c r="N50" s="1"/>
      <c r="O50" s="1"/>
      <c r="P50" s="1"/>
      <c r="Q50" s="1"/>
      <c r="R50" s="1"/>
      <c r="S50" s="1"/>
      <c r="T50" s="1"/>
      <c r="U50" s="1"/>
      <c r="V50" s="1"/>
      <c r="W50" s="1"/>
      <c r="X50" s="1"/>
      <c r="Y50" s="1"/>
      <c r="Z50" s="1"/>
      <c r="AA50" s="1"/>
      <c r="AB50" s="1"/>
      <c r="AC50" s="1"/>
      <c r="AD50" s="1"/>
      <c r="AE50" s="1"/>
      <c r="AF5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0" s="1"/>
    </row>
    <row r="51" spans="1:33" ht="72.5" hidden="1" x14ac:dyDescent="0.35">
      <c r="A51" s="1" t="s">
        <v>149</v>
      </c>
      <c r="B51" s="7" t="s">
        <v>150</v>
      </c>
      <c r="C51" t="s">
        <v>2</v>
      </c>
      <c r="D51" t="s">
        <v>151</v>
      </c>
      <c r="E51" s="1" t="b">
        <v>0</v>
      </c>
      <c r="J51" s="1"/>
      <c r="K51" s="1"/>
      <c r="L51" s="1" t="b">
        <f>IF(OR(Table1[[#This Row],[Does not regard DAIC-WOZ]]=TRUE,Table1[[#This Row],[Does not use MAE]]=TRUE,Table1[[#This Row],[Does not introduce new model]]=TRUE,Table1[[#This Row],[Not in English]]=TRUE,Table1[[#This Row],[Not retrieved]]=TRUE),TRUE,FALSE)</f>
        <v>0</v>
      </c>
      <c r="M51" s="1" t="s">
        <v>845</v>
      </c>
      <c r="N51" s="1" t="s">
        <v>753</v>
      </c>
      <c r="O51" s="1" t="s">
        <v>844</v>
      </c>
      <c r="P51" s="1" t="s">
        <v>846</v>
      </c>
      <c r="Q51" s="1" t="s">
        <v>753</v>
      </c>
      <c r="R51" s="1" t="s">
        <v>753</v>
      </c>
      <c r="S51" s="1"/>
      <c r="T51" s="1" t="s">
        <v>769</v>
      </c>
      <c r="U51" s="1" t="s">
        <v>753</v>
      </c>
      <c r="V51" s="1" t="s">
        <v>753</v>
      </c>
      <c r="W51" s="1" t="s">
        <v>753</v>
      </c>
      <c r="X51" s="1" t="s">
        <v>753</v>
      </c>
      <c r="Y51" s="1" t="s">
        <v>753</v>
      </c>
      <c r="Z51" s="1" t="s">
        <v>753</v>
      </c>
      <c r="AA51" s="1" t="s">
        <v>773</v>
      </c>
      <c r="AB51" s="1" t="s">
        <v>773</v>
      </c>
      <c r="AC51" s="1" t="s">
        <v>778</v>
      </c>
      <c r="AD51" s="1" t="s">
        <v>753</v>
      </c>
      <c r="AE51" s="1"/>
      <c r="AF51"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51" t="s">
        <v>847</v>
      </c>
    </row>
    <row r="52" spans="1:33" ht="87" hidden="1" x14ac:dyDescent="0.35">
      <c r="A52" s="1" t="s">
        <v>152</v>
      </c>
      <c r="B52" s="7" t="s">
        <v>153</v>
      </c>
      <c r="C52" t="s">
        <v>2</v>
      </c>
      <c r="D52" t="s">
        <v>154</v>
      </c>
      <c r="E52" s="1" t="b">
        <v>0</v>
      </c>
      <c r="J52" s="1"/>
      <c r="K52" s="1"/>
      <c r="L52" s="1" t="b">
        <f>IF(OR(Table1[[#This Row],[Does not regard DAIC-WOZ]]=TRUE,Table1[[#This Row],[Does not use MAE]]=TRUE,Table1[[#This Row],[Does not introduce new model]]=TRUE,Table1[[#This Row],[Not in English]]=TRUE,Table1[[#This Row],[Not retrieved]]=TRUE),TRUE,FALSE)</f>
        <v>0</v>
      </c>
      <c r="M52" s="1" t="s">
        <v>952</v>
      </c>
      <c r="N52" s="1" t="s">
        <v>779</v>
      </c>
      <c r="O52" s="1" t="s">
        <v>788</v>
      </c>
      <c r="P52" s="1" t="s">
        <v>849</v>
      </c>
      <c r="Q52" s="1" t="s">
        <v>753</v>
      </c>
      <c r="R52" s="1" t="s">
        <v>787</v>
      </c>
      <c r="S52" s="1"/>
      <c r="T52" s="1" t="s">
        <v>770</v>
      </c>
      <c r="U52" s="1">
        <v>2.91</v>
      </c>
      <c r="V52" s="1">
        <v>3.81</v>
      </c>
      <c r="W52" s="1">
        <v>0.64</v>
      </c>
      <c r="X52" s="1" t="s">
        <v>753</v>
      </c>
      <c r="Y52" s="1" t="s">
        <v>753</v>
      </c>
      <c r="Z52" s="1" t="s">
        <v>753</v>
      </c>
      <c r="AA52" s="1" t="s">
        <v>773</v>
      </c>
      <c r="AB52" s="1" t="s">
        <v>773</v>
      </c>
      <c r="AC52" s="1" t="s">
        <v>753</v>
      </c>
      <c r="AD52" s="1" t="s">
        <v>773</v>
      </c>
      <c r="AE52" s="1"/>
      <c r="AF52"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52" t="s">
        <v>953</v>
      </c>
    </row>
    <row r="53" spans="1:33" ht="43.5" hidden="1" x14ac:dyDescent="0.35">
      <c r="A53" s="1" t="s">
        <v>155</v>
      </c>
      <c r="B53" s="7" t="s">
        <v>156</v>
      </c>
      <c r="C53" t="s">
        <v>6</v>
      </c>
      <c r="D53" t="s">
        <v>157</v>
      </c>
      <c r="E53" s="1" t="b">
        <v>1</v>
      </c>
      <c r="J53" s="1"/>
      <c r="K53" s="1"/>
      <c r="L53" s="1" t="b">
        <f>IF(OR(Table1[[#This Row],[Does not regard DAIC-WOZ]]=TRUE,Table1[[#This Row],[Does not use MAE]]=TRUE,Table1[[#This Row],[Does not introduce new model]]=TRUE,Table1[[#This Row],[Not in English]]=TRUE,Table1[[#This Row],[Not retrieved]]=TRUE),TRUE,FALSE)</f>
        <v>0</v>
      </c>
      <c r="M53" s="1"/>
      <c r="N53" s="1"/>
      <c r="O53" s="1"/>
      <c r="P53" s="1"/>
      <c r="Q53" s="1"/>
      <c r="R53" s="1"/>
      <c r="S53" s="1"/>
      <c r="T53" s="1"/>
      <c r="U53" s="1"/>
      <c r="V53" s="1"/>
      <c r="W53" s="1"/>
      <c r="X53" s="1"/>
      <c r="Y53" s="1"/>
      <c r="Z53" s="1"/>
      <c r="AA53" s="1"/>
      <c r="AB53" s="1"/>
      <c r="AC53" s="1"/>
      <c r="AD53" s="1"/>
      <c r="AE53" s="1"/>
      <c r="AF5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3" s="1"/>
    </row>
    <row r="54" spans="1:33" ht="29" hidden="1" x14ac:dyDescent="0.35">
      <c r="A54" s="1" t="s">
        <v>158</v>
      </c>
      <c r="B54" s="7" t="s">
        <v>159</v>
      </c>
      <c r="C54" t="s">
        <v>6</v>
      </c>
      <c r="D54" t="s">
        <v>160</v>
      </c>
      <c r="E54" s="1" t="b">
        <v>1</v>
      </c>
      <c r="J54" s="1"/>
      <c r="K54" s="1"/>
      <c r="L54" s="1" t="b">
        <f>IF(OR(Table1[[#This Row],[Does not regard DAIC-WOZ]]=TRUE,Table1[[#This Row],[Does not use MAE]]=TRUE,Table1[[#This Row],[Does not introduce new model]]=TRUE,Table1[[#This Row],[Not in English]]=TRUE,Table1[[#This Row],[Not retrieved]]=TRUE),TRUE,FALSE)</f>
        <v>0</v>
      </c>
      <c r="M54" s="1"/>
      <c r="N54" s="1"/>
      <c r="O54" s="1"/>
      <c r="P54" s="1"/>
      <c r="Q54" s="1"/>
      <c r="R54" s="1"/>
      <c r="S54" s="1"/>
      <c r="T54" s="1"/>
      <c r="U54" s="1"/>
      <c r="V54" s="1"/>
      <c r="W54" s="1"/>
      <c r="X54" s="1"/>
      <c r="Y54" s="1"/>
      <c r="Z54" s="1"/>
      <c r="AA54" s="1"/>
      <c r="AB54" s="1"/>
      <c r="AC54" s="1"/>
      <c r="AD54" s="1"/>
      <c r="AE54" s="1"/>
      <c r="AF5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4" s="1"/>
    </row>
    <row r="55" spans="1:33" ht="58" hidden="1" x14ac:dyDescent="0.35">
      <c r="A55" s="1" t="s">
        <v>161</v>
      </c>
      <c r="B55" s="7" t="s">
        <v>162</v>
      </c>
      <c r="C55" t="s">
        <v>6</v>
      </c>
      <c r="D55" t="s">
        <v>163</v>
      </c>
      <c r="E55" s="1" t="b">
        <v>1</v>
      </c>
      <c r="J55" s="1"/>
      <c r="K55" s="1"/>
      <c r="L55" s="1" t="b">
        <f>IF(OR(Table1[[#This Row],[Does not regard DAIC-WOZ]]=TRUE,Table1[[#This Row],[Does not use MAE]]=TRUE,Table1[[#This Row],[Does not introduce new model]]=TRUE,Table1[[#This Row],[Not in English]]=TRUE,Table1[[#This Row],[Not retrieved]]=TRUE),TRUE,FALSE)</f>
        <v>0</v>
      </c>
      <c r="M55" s="1"/>
      <c r="N55" s="1"/>
      <c r="O55" s="1"/>
      <c r="P55" s="1"/>
      <c r="Q55" s="1"/>
      <c r="R55" s="1"/>
      <c r="S55" s="1"/>
      <c r="T55" s="1"/>
      <c r="U55" s="1"/>
      <c r="V55" s="1"/>
      <c r="W55" s="1"/>
      <c r="X55" s="1"/>
      <c r="Y55" s="1"/>
      <c r="Z55" s="1"/>
      <c r="AA55" s="1"/>
      <c r="AB55" s="1"/>
      <c r="AC55" s="1"/>
      <c r="AD55" s="1"/>
      <c r="AE55" s="1"/>
      <c r="AF5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5" s="1"/>
    </row>
    <row r="56" spans="1:33" ht="43.5" hidden="1" x14ac:dyDescent="0.35">
      <c r="A56" s="1" t="s">
        <v>164</v>
      </c>
      <c r="B56" s="7" t="s">
        <v>165</v>
      </c>
      <c r="C56" t="s">
        <v>6</v>
      </c>
      <c r="D56" t="s">
        <v>166</v>
      </c>
      <c r="E56" s="1" t="b">
        <v>1</v>
      </c>
      <c r="J56" s="1"/>
      <c r="K56" s="1"/>
      <c r="L56" s="1" t="b">
        <f>IF(OR(Table1[[#This Row],[Does not regard DAIC-WOZ]]=TRUE,Table1[[#This Row],[Does not use MAE]]=TRUE,Table1[[#This Row],[Does not introduce new model]]=TRUE,Table1[[#This Row],[Not in English]]=TRUE,Table1[[#This Row],[Not retrieved]]=TRUE),TRUE,FALSE)</f>
        <v>0</v>
      </c>
      <c r="M56" s="1"/>
      <c r="N56" s="1"/>
      <c r="O56" s="1"/>
      <c r="P56" s="1"/>
      <c r="Q56" s="1"/>
      <c r="R56" s="1"/>
      <c r="S56" s="1"/>
      <c r="T56" s="1"/>
      <c r="U56" s="1"/>
      <c r="V56" s="1"/>
      <c r="W56" s="1"/>
      <c r="X56" s="1"/>
      <c r="Y56" s="1"/>
      <c r="Z56" s="1"/>
      <c r="AA56" s="1"/>
      <c r="AB56" s="1"/>
      <c r="AC56" s="1"/>
      <c r="AD56" s="1"/>
      <c r="AE56" s="1"/>
      <c r="AF5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6" s="1"/>
    </row>
    <row r="57" spans="1:33" ht="29" hidden="1" x14ac:dyDescent="0.35">
      <c r="A57" s="1" t="s">
        <v>167</v>
      </c>
      <c r="B57" s="7" t="s">
        <v>168</v>
      </c>
      <c r="C57" t="s">
        <v>6</v>
      </c>
      <c r="D57" t="s">
        <v>169</v>
      </c>
      <c r="E57" s="1" t="b">
        <v>1</v>
      </c>
      <c r="J57" s="1"/>
      <c r="K57" s="1"/>
      <c r="L57" s="1" t="b">
        <f>IF(OR(Table1[[#This Row],[Does not regard DAIC-WOZ]]=TRUE,Table1[[#This Row],[Does not use MAE]]=TRUE,Table1[[#This Row],[Does not introduce new model]]=TRUE,Table1[[#This Row],[Not in English]]=TRUE,Table1[[#This Row],[Not retrieved]]=TRUE),TRUE,FALSE)</f>
        <v>0</v>
      </c>
      <c r="M57" s="1"/>
      <c r="N57" s="1"/>
      <c r="O57" s="1"/>
      <c r="P57" s="1"/>
      <c r="Q57" s="1"/>
      <c r="R57" s="1"/>
      <c r="S57" s="1"/>
      <c r="T57" s="1"/>
      <c r="U57" s="1"/>
      <c r="V57" s="1"/>
      <c r="W57" s="1"/>
      <c r="X57" s="1"/>
      <c r="Y57" s="1"/>
      <c r="Z57" s="1"/>
      <c r="AA57" s="1"/>
      <c r="AB57" s="1"/>
      <c r="AC57" s="1"/>
      <c r="AD57" s="1"/>
      <c r="AE57" s="1"/>
      <c r="AF5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7" s="1"/>
    </row>
    <row r="58" spans="1:33" ht="29" hidden="1" x14ac:dyDescent="0.35">
      <c r="A58" s="1" t="s">
        <v>170</v>
      </c>
      <c r="B58" s="7" t="s">
        <v>171</v>
      </c>
      <c r="C58" t="s">
        <v>172</v>
      </c>
      <c r="E58" s="1" t="b">
        <v>1</v>
      </c>
      <c r="J58" s="1"/>
      <c r="K58" s="1"/>
      <c r="L58" s="1" t="b">
        <f>IF(OR(Table1[[#This Row],[Does not regard DAIC-WOZ]]=TRUE,Table1[[#This Row],[Does not use MAE]]=TRUE,Table1[[#This Row],[Does not introduce new model]]=TRUE,Table1[[#This Row],[Not in English]]=TRUE,Table1[[#This Row],[Not retrieved]]=TRUE),TRUE,FALSE)</f>
        <v>0</v>
      </c>
      <c r="M58" s="1"/>
      <c r="N58" s="1"/>
      <c r="O58" s="1"/>
      <c r="P58" s="1"/>
      <c r="Q58" s="1"/>
      <c r="R58" s="1"/>
      <c r="S58" s="1"/>
      <c r="T58" s="1"/>
      <c r="U58" s="1"/>
      <c r="V58" s="1"/>
      <c r="W58" s="1"/>
      <c r="X58" s="1"/>
      <c r="Y58" s="1"/>
      <c r="Z58" s="1"/>
      <c r="AA58" s="1"/>
      <c r="AB58" s="1"/>
      <c r="AC58" s="1"/>
      <c r="AD58" s="1"/>
      <c r="AE58" s="1"/>
      <c r="AF5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58" s="1"/>
    </row>
    <row r="59" spans="1:33" ht="43.5" hidden="1" x14ac:dyDescent="0.35">
      <c r="A59" s="1" t="s">
        <v>173</v>
      </c>
      <c r="B59" s="7" t="s">
        <v>174</v>
      </c>
      <c r="C59" t="s">
        <v>172</v>
      </c>
      <c r="E59" s="1" t="b">
        <v>0</v>
      </c>
      <c r="J59" s="1"/>
      <c r="K59" s="1"/>
      <c r="L59" s="1" t="b">
        <f>IF(OR(Table1[[#This Row],[Does not regard DAIC-WOZ]]=TRUE,Table1[[#This Row],[Does not use MAE]]=TRUE,Table1[[#This Row],[Does not introduce new model]]=TRUE,Table1[[#This Row],[Not in English]]=TRUE,Table1[[#This Row],[Not retrieved]]=TRUE),TRUE,FALSE)</f>
        <v>0</v>
      </c>
      <c r="M59" s="1" t="s">
        <v>786</v>
      </c>
      <c r="N59" s="1" t="s">
        <v>779</v>
      </c>
      <c r="O59" s="1" t="s">
        <v>753</v>
      </c>
      <c r="P59" s="1" t="s">
        <v>850</v>
      </c>
      <c r="Q59" s="1" t="s">
        <v>753</v>
      </c>
      <c r="R59" s="1" t="s">
        <v>753</v>
      </c>
      <c r="S59" s="1"/>
      <c r="T59" s="1" t="s">
        <v>848</v>
      </c>
      <c r="U59" s="1" t="s">
        <v>753</v>
      </c>
      <c r="V59" s="1" t="s">
        <v>753</v>
      </c>
      <c r="W59" s="1" t="s">
        <v>753</v>
      </c>
      <c r="X59" s="1">
        <v>6.702</v>
      </c>
      <c r="Y59" s="1">
        <v>9.1059999999999999</v>
      </c>
      <c r="Z59" s="1" t="s">
        <v>753</v>
      </c>
      <c r="AA59" s="1" t="s">
        <v>773</v>
      </c>
      <c r="AB59" s="1" t="s">
        <v>773</v>
      </c>
      <c r="AC59" s="1" t="s">
        <v>753</v>
      </c>
      <c r="AD59" s="1" t="s">
        <v>773</v>
      </c>
      <c r="AE59" s="1"/>
      <c r="AF59"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59" t="s">
        <v>851</v>
      </c>
    </row>
    <row r="60" spans="1:33" ht="29" hidden="1" x14ac:dyDescent="0.35">
      <c r="A60" s="1" t="s">
        <v>175</v>
      </c>
      <c r="B60" s="7" t="s">
        <v>176</v>
      </c>
      <c r="C60" t="s">
        <v>172</v>
      </c>
      <c r="E60" s="1" t="b">
        <v>0</v>
      </c>
      <c r="I60" s="1" t="b">
        <v>1</v>
      </c>
      <c r="J60" s="1"/>
      <c r="K60" s="1"/>
      <c r="L60" s="1" t="b">
        <f>IF(OR(Table1[[#This Row],[Does not regard DAIC-WOZ]]=TRUE,Table1[[#This Row],[Does not use MAE]]=TRUE,Table1[[#This Row],[Does not introduce new model]]=TRUE,Table1[[#This Row],[Not in English]]=TRUE,Table1[[#This Row],[Not retrieved]]=TRUE),TRUE,FALSE)</f>
        <v>1</v>
      </c>
      <c r="M60" s="1"/>
      <c r="N60" s="1"/>
      <c r="O60" s="1"/>
      <c r="P60" s="1"/>
      <c r="Q60" s="1"/>
      <c r="R60" s="1"/>
      <c r="S60" s="1"/>
      <c r="T60" s="1"/>
      <c r="U60" s="1"/>
      <c r="V60" s="1"/>
      <c r="W60" s="1"/>
      <c r="X60" s="1"/>
      <c r="Y60" s="1"/>
      <c r="Z60" s="1"/>
      <c r="AA60" s="1"/>
      <c r="AB60" s="1"/>
      <c r="AC60" s="1"/>
      <c r="AD60" s="1"/>
      <c r="AE60" s="1"/>
      <c r="AF6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61" spans="1:33" ht="43.5" hidden="1" x14ac:dyDescent="0.35">
      <c r="A61" s="1" t="s">
        <v>177</v>
      </c>
      <c r="C61" t="s">
        <v>172</v>
      </c>
      <c r="E61" s="1" t="b">
        <v>1</v>
      </c>
      <c r="J61" s="1"/>
      <c r="K61" s="1"/>
      <c r="L61" s="1" t="b">
        <f>IF(OR(Table1[[#This Row],[Does not regard DAIC-WOZ]]=TRUE,Table1[[#This Row],[Does not use MAE]]=TRUE,Table1[[#This Row],[Does not introduce new model]]=TRUE,Table1[[#This Row],[Not in English]]=TRUE,Table1[[#This Row],[Not retrieved]]=TRUE),TRUE,FALSE)</f>
        <v>0</v>
      </c>
      <c r="M61" s="1"/>
      <c r="N61" s="1"/>
      <c r="O61" s="1"/>
      <c r="P61" s="1"/>
      <c r="Q61" s="1"/>
      <c r="R61" s="1"/>
      <c r="S61" s="1"/>
      <c r="T61" s="1"/>
      <c r="U61" s="1"/>
      <c r="V61" s="1"/>
      <c r="W61" s="1"/>
      <c r="X61" s="1"/>
      <c r="Y61" s="1"/>
      <c r="Z61" s="1"/>
      <c r="AA61" s="1"/>
      <c r="AB61" s="1"/>
      <c r="AC61" s="1"/>
      <c r="AD61" s="1"/>
      <c r="AE61" s="1"/>
      <c r="AF6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1" s="1"/>
    </row>
    <row r="62" spans="1:33" ht="43.5" hidden="1" x14ac:dyDescent="0.35">
      <c r="A62" s="1" t="s">
        <v>178</v>
      </c>
      <c r="C62" t="s">
        <v>172</v>
      </c>
      <c r="E62" s="1" t="b">
        <v>1</v>
      </c>
      <c r="J62" s="1"/>
      <c r="K62" s="1"/>
      <c r="L62" s="1" t="b">
        <f>IF(OR(Table1[[#This Row],[Does not regard DAIC-WOZ]]=TRUE,Table1[[#This Row],[Does not use MAE]]=TRUE,Table1[[#This Row],[Does not introduce new model]]=TRUE,Table1[[#This Row],[Not in English]]=TRUE,Table1[[#This Row],[Not retrieved]]=TRUE),TRUE,FALSE)</f>
        <v>0</v>
      </c>
      <c r="M62" s="1"/>
      <c r="N62" s="1"/>
      <c r="O62" s="1"/>
      <c r="P62" s="1"/>
      <c r="Q62" s="1"/>
      <c r="R62" s="1"/>
      <c r="S62" s="1"/>
      <c r="T62" s="1"/>
      <c r="U62" s="1"/>
      <c r="V62" s="1"/>
      <c r="W62" s="1"/>
      <c r="X62" s="1"/>
      <c r="Y62" s="1"/>
      <c r="Z62" s="1"/>
      <c r="AA62" s="1"/>
      <c r="AB62" s="1"/>
      <c r="AC62" s="1"/>
      <c r="AD62" s="1"/>
      <c r="AE62" s="1"/>
      <c r="AF6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2" s="1"/>
    </row>
    <row r="63" spans="1:33" ht="72.5" x14ac:dyDescent="0.35">
      <c r="A63" s="1" t="s">
        <v>179</v>
      </c>
      <c r="B63" s="7" t="s">
        <v>180</v>
      </c>
      <c r="C63" t="s">
        <v>172</v>
      </c>
      <c r="E63" s="1" t="b">
        <v>0</v>
      </c>
      <c r="J63" s="1"/>
      <c r="K63" s="1"/>
      <c r="L63" s="1" t="b">
        <f>IF(OR(Table1[[#This Row],[Does not regard DAIC-WOZ]]=TRUE,Table1[[#This Row],[Does not use MAE]]=TRUE,Table1[[#This Row],[Does not introduce new model]]=TRUE,Table1[[#This Row],[Not in English]]=TRUE,Table1[[#This Row],[Not retrieved]]=TRUE),TRUE,FALSE)</f>
        <v>0</v>
      </c>
      <c r="M63" s="1" t="s">
        <v>852</v>
      </c>
      <c r="N63" s="1" t="s">
        <v>779</v>
      </c>
      <c r="O63" s="1" t="s">
        <v>788</v>
      </c>
      <c r="P63" s="1" t="s">
        <v>853</v>
      </c>
      <c r="Q63" s="1" t="s">
        <v>777</v>
      </c>
      <c r="R63" s="1" t="s">
        <v>854</v>
      </c>
      <c r="S63" s="1"/>
      <c r="T63" s="1" t="s">
        <v>848</v>
      </c>
      <c r="U63" s="1">
        <v>5.5</v>
      </c>
      <c r="V63" s="1">
        <v>6.5</v>
      </c>
      <c r="W63" s="1" t="s">
        <v>753</v>
      </c>
      <c r="X63" s="1">
        <v>5.42</v>
      </c>
      <c r="Y63" s="1">
        <v>6.42</v>
      </c>
      <c r="Z63" s="1" t="s">
        <v>753</v>
      </c>
      <c r="AA63" s="1" t="s">
        <v>773</v>
      </c>
      <c r="AB63" s="1" t="s">
        <v>773</v>
      </c>
      <c r="AC63" s="1" t="s">
        <v>773</v>
      </c>
      <c r="AD63" s="1" t="s">
        <v>773</v>
      </c>
      <c r="AE63" s="1"/>
      <c r="AF63"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1</v>
      </c>
      <c r="AG63" t="s">
        <v>855</v>
      </c>
    </row>
    <row r="64" spans="1:33" ht="29" hidden="1" x14ac:dyDescent="0.35">
      <c r="A64" s="1" t="s">
        <v>181</v>
      </c>
      <c r="C64" t="s">
        <v>172</v>
      </c>
      <c r="E64" s="1" t="b">
        <v>1</v>
      </c>
      <c r="J64" s="1"/>
      <c r="K64" s="1"/>
      <c r="L64" s="1" t="b">
        <f>IF(OR(Table1[[#This Row],[Does not regard DAIC-WOZ]]=TRUE,Table1[[#This Row],[Does not use MAE]]=TRUE,Table1[[#This Row],[Does not introduce new model]]=TRUE,Table1[[#This Row],[Not in English]]=TRUE,Table1[[#This Row],[Not retrieved]]=TRUE),TRUE,FALSE)</f>
        <v>0</v>
      </c>
      <c r="M64" s="1"/>
      <c r="N64" s="1"/>
      <c r="O64" s="1"/>
      <c r="P64" s="1"/>
      <c r="Q64" s="1"/>
      <c r="R64" s="1"/>
      <c r="S64" s="1"/>
      <c r="T64" s="1"/>
      <c r="U64" s="1"/>
      <c r="V64" s="1"/>
      <c r="W64" s="1"/>
      <c r="X64" s="1"/>
      <c r="Y64" s="1"/>
      <c r="Z64" s="1"/>
      <c r="AA64" s="1"/>
      <c r="AB64" s="1"/>
      <c r="AC64" s="1"/>
      <c r="AD64" s="1"/>
      <c r="AE64" s="1"/>
      <c r="AF6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4" s="1"/>
    </row>
    <row r="65" spans="1:33" ht="29" hidden="1" x14ac:dyDescent="0.35">
      <c r="A65" s="1" t="s">
        <v>182</v>
      </c>
      <c r="B65" s="7" t="s">
        <v>183</v>
      </c>
      <c r="C65" t="s">
        <v>172</v>
      </c>
      <c r="E65" s="1" t="b">
        <v>0</v>
      </c>
      <c r="J65" s="1"/>
      <c r="K65" s="1"/>
      <c r="L65" s="1" t="b">
        <f>IF(OR(Table1[[#This Row],[Does not regard DAIC-WOZ]]=TRUE,Table1[[#This Row],[Does not use MAE]]=TRUE,Table1[[#This Row],[Does not introduce new model]]=TRUE,Table1[[#This Row],[Not in English]]=TRUE,Table1[[#This Row],[Not retrieved]]=TRUE),TRUE,FALSE)</f>
        <v>0</v>
      </c>
      <c r="M65" s="1" t="s">
        <v>753</v>
      </c>
      <c r="N65" s="1" t="s">
        <v>779</v>
      </c>
      <c r="O65" s="1" t="s">
        <v>753</v>
      </c>
      <c r="P65" s="1" t="s">
        <v>753</v>
      </c>
      <c r="Q65" s="1" t="s">
        <v>753</v>
      </c>
      <c r="R65" s="1" t="s">
        <v>753</v>
      </c>
      <c r="S65" s="1"/>
      <c r="T65" s="1" t="s">
        <v>784</v>
      </c>
      <c r="U65" s="1">
        <v>4.18</v>
      </c>
      <c r="V65" s="1">
        <v>5.31</v>
      </c>
      <c r="W65" s="1" t="s">
        <v>753</v>
      </c>
      <c r="X65" s="1" t="s">
        <v>753</v>
      </c>
      <c r="Y65" s="1" t="s">
        <v>753</v>
      </c>
      <c r="Z65" s="1" t="s">
        <v>753</v>
      </c>
      <c r="AA65" s="1" t="s">
        <v>773</v>
      </c>
      <c r="AB65" s="1" t="s">
        <v>773</v>
      </c>
      <c r="AC65" s="1" t="s">
        <v>778</v>
      </c>
      <c r="AD65" s="1" t="s">
        <v>753</v>
      </c>
      <c r="AE65" s="1"/>
      <c r="AF65"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65" t="s">
        <v>856</v>
      </c>
    </row>
    <row r="66" spans="1:33" ht="29" hidden="1" x14ac:dyDescent="0.35">
      <c r="A66" s="1" t="s">
        <v>184</v>
      </c>
      <c r="B66" s="7" t="s">
        <v>185</v>
      </c>
      <c r="C66" t="s">
        <v>172</v>
      </c>
      <c r="D66" s="1"/>
      <c r="E66" s="1" t="b">
        <v>0</v>
      </c>
      <c r="F66" s="1" t="s">
        <v>736</v>
      </c>
      <c r="G66" s="1" t="b">
        <v>1</v>
      </c>
      <c r="J66" s="1"/>
      <c r="K66" s="1"/>
      <c r="L66" s="1" t="b">
        <f>IF(OR(Table1[[#This Row],[Does not regard DAIC-WOZ]]=TRUE,Table1[[#This Row],[Does not use MAE]]=TRUE,Table1[[#This Row],[Does not introduce new model]]=TRUE,Table1[[#This Row],[Not in English]]=TRUE,Table1[[#This Row],[Not retrieved]]=TRUE),TRUE,FALSE)</f>
        <v>1</v>
      </c>
      <c r="M66" s="1"/>
      <c r="N66" s="1"/>
      <c r="O66" s="1"/>
      <c r="P66" s="1"/>
      <c r="Q66" s="1"/>
      <c r="R66" s="1"/>
      <c r="S66" s="1"/>
      <c r="T66" s="1"/>
      <c r="U66" s="1"/>
      <c r="V66" s="1"/>
      <c r="W66" s="1"/>
      <c r="X66" s="1"/>
      <c r="Y66" s="1"/>
      <c r="Z66" s="1"/>
      <c r="AA66" s="1"/>
      <c r="AB66" s="1"/>
      <c r="AC66" s="1"/>
      <c r="AD66" s="1"/>
      <c r="AE66" s="1"/>
      <c r="AF6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6" s="1"/>
    </row>
    <row r="67" spans="1:33" ht="29" hidden="1" x14ac:dyDescent="0.35">
      <c r="A67" s="1" t="s">
        <v>186</v>
      </c>
      <c r="B67" s="7" t="s">
        <v>187</v>
      </c>
      <c r="C67" t="s">
        <v>172</v>
      </c>
      <c r="D67" s="1"/>
      <c r="E67" s="1" t="b">
        <v>0</v>
      </c>
      <c r="F67" s="1" t="s">
        <v>736</v>
      </c>
      <c r="G67" s="1" t="b">
        <v>1</v>
      </c>
      <c r="J67" s="1"/>
      <c r="K67" s="1"/>
      <c r="L67" s="1" t="b">
        <f>IF(OR(Table1[[#This Row],[Does not regard DAIC-WOZ]]=TRUE,Table1[[#This Row],[Does not use MAE]]=TRUE,Table1[[#This Row],[Does not introduce new model]]=TRUE,Table1[[#This Row],[Not in English]]=TRUE,Table1[[#This Row],[Not retrieved]]=TRUE),TRUE,FALSE)</f>
        <v>1</v>
      </c>
      <c r="M67" s="1"/>
      <c r="N67" s="1"/>
      <c r="O67" s="1"/>
      <c r="P67" s="1"/>
      <c r="Q67" s="1"/>
      <c r="R67" s="1"/>
      <c r="S67" s="1"/>
      <c r="T67" s="1"/>
      <c r="U67" s="1"/>
      <c r="V67" s="1"/>
      <c r="W67" s="1"/>
      <c r="X67" s="1"/>
      <c r="Y67" s="1"/>
      <c r="Z67" s="1"/>
      <c r="AA67" s="1"/>
      <c r="AB67" s="1"/>
      <c r="AC67" s="1"/>
      <c r="AD67" s="1"/>
      <c r="AE67" s="1"/>
      <c r="AF6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7" s="1"/>
    </row>
    <row r="68" spans="1:33" ht="58" hidden="1" x14ac:dyDescent="0.35">
      <c r="A68" s="1" t="s">
        <v>188</v>
      </c>
      <c r="B68" s="7" t="s">
        <v>189</v>
      </c>
      <c r="C68" t="s">
        <v>172</v>
      </c>
      <c r="E68" s="1" t="b">
        <v>1</v>
      </c>
      <c r="J68" s="1"/>
      <c r="K68" s="1"/>
      <c r="L68" s="1" t="b">
        <f>IF(OR(Table1[[#This Row],[Does not regard DAIC-WOZ]]=TRUE,Table1[[#This Row],[Does not use MAE]]=TRUE,Table1[[#This Row],[Does not introduce new model]]=TRUE,Table1[[#This Row],[Not in English]]=TRUE,Table1[[#This Row],[Not retrieved]]=TRUE),TRUE,FALSE)</f>
        <v>0</v>
      </c>
      <c r="M68" s="1"/>
      <c r="N68" s="1"/>
      <c r="O68" s="1"/>
      <c r="P68" s="1"/>
      <c r="Q68" s="1"/>
      <c r="R68" s="1"/>
      <c r="S68" s="1"/>
      <c r="T68" s="1"/>
      <c r="U68" s="1"/>
      <c r="V68" s="1"/>
      <c r="W68" s="1"/>
      <c r="X68" s="1"/>
      <c r="Y68" s="1"/>
      <c r="Z68" s="1"/>
      <c r="AA68" s="1"/>
      <c r="AB68" s="1"/>
      <c r="AC68" s="1"/>
      <c r="AD68" s="1"/>
      <c r="AE68" s="1"/>
      <c r="AF6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8" s="1"/>
    </row>
    <row r="69" spans="1:33" ht="29" hidden="1" x14ac:dyDescent="0.35">
      <c r="A69" s="1" t="s">
        <v>190</v>
      </c>
      <c r="C69" t="s">
        <v>172</v>
      </c>
      <c r="E69" s="1" t="b">
        <v>1</v>
      </c>
      <c r="J69" s="1"/>
      <c r="K69" s="1"/>
      <c r="L69" s="1" t="b">
        <f>IF(OR(Table1[[#This Row],[Does not regard DAIC-WOZ]]=TRUE,Table1[[#This Row],[Does not use MAE]]=TRUE,Table1[[#This Row],[Does not introduce new model]]=TRUE,Table1[[#This Row],[Not in English]]=TRUE,Table1[[#This Row],[Not retrieved]]=TRUE),TRUE,FALSE)</f>
        <v>0</v>
      </c>
      <c r="M69" s="1"/>
      <c r="N69" s="1"/>
      <c r="O69" s="1"/>
      <c r="P69" s="1"/>
      <c r="Q69" s="1"/>
      <c r="R69" s="1"/>
      <c r="S69" s="1"/>
      <c r="T69" s="1"/>
      <c r="U69" s="1"/>
      <c r="V69" s="1"/>
      <c r="W69" s="1"/>
      <c r="X69" s="1"/>
      <c r="Y69" s="1"/>
      <c r="Z69" s="1"/>
      <c r="AA69" s="1"/>
      <c r="AB69" s="1"/>
      <c r="AC69" s="1"/>
      <c r="AD69" s="1"/>
      <c r="AE69" s="1"/>
      <c r="AF6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69" s="1"/>
    </row>
    <row r="70" spans="1:33" ht="29" hidden="1" x14ac:dyDescent="0.35">
      <c r="A70" s="1" t="s">
        <v>191</v>
      </c>
      <c r="C70" t="s">
        <v>172</v>
      </c>
      <c r="E70" s="1" t="b">
        <v>1</v>
      </c>
      <c r="J70" s="1"/>
      <c r="K70" s="1"/>
      <c r="L70" s="1" t="b">
        <f>IF(OR(Table1[[#This Row],[Does not regard DAIC-WOZ]]=TRUE,Table1[[#This Row],[Does not use MAE]]=TRUE,Table1[[#This Row],[Does not introduce new model]]=TRUE,Table1[[#This Row],[Not in English]]=TRUE,Table1[[#This Row],[Not retrieved]]=TRUE),TRUE,FALSE)</f>
        <v>0</v>
      </c>
      <c r="M70" s="1"/>
      <c r="N70" s="1"/>
      <c r="O70" s="1"/>
      <c r="P70" s="1"/>
      <c r="Q70" s="1"/>
      <c r="R70" s="1"/>
      <c r="S70" s="1"/>
      <c r="T70" s="1"/>
      <c r="U70" s="1"/>
      <c r="V70" s="1"/>
      <c r="W70" s="1"/>
      <c r="X70" s="1"/>
      <c r="Y70" s="1"/>
      <c r="Z70" s="1"/>
      <c r="AA70" s="1"/>
      <c r="AB70" s="1"/>
      <c r="AC70" s="1"/>
      <c r="AD70" s="1"/>
      <c r="AE70" s="1"/>
      <c r="AF7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0" s="1"/>
    </row>
    <row r="71" spans="1:33" ht="43.5" hidden="1" x14ac:dyDescent="0.35">
      <c r="A71" s="1" t="s">
        <v>192</v>
      </c>
      <c r="C71" t="s">
        <v>172</v>
      </c>
      <c r="E71" s="1" t="b">
        <v>1</v>
      </c>
      <c r="J71" s="1"/>
      <c r="K71" s="1"/>
      <c r="L71" s="1" t="b">
        <f>IF(OR(Table1[[#This Row],[Does not regard DAIC-WOZ]]=TRUE,Table1[[#This Row],[Does not use MAE]]=TRUE,Table1[[#This Row],[Does not introduce new model]]=TRUE,Table1[[#This Row],[Not in English]]=TRUE,Table1[[#This Row],[Not retrieved]]=TRUE),TRUE,FALSE)</f>
        <v>0</v>
      </c>
      <c r="M71" s="1"/>
      <c r="N71" s="1"/>
      <c r="O71" s="1"/>
      <c r="P71" s="1"/>
      <c r="Q71" s="1"/>
      <c r="R71" s="1"/>
      <c r="S71" s="1"/>
      <c r="T71" s="1"/>
      <c r="U71" s="1"/>
      <c r="V71" s="1"/>
      <c r="W71" s="1"/>
      <c r="X71" s="1"/>
      <c r="Y71" s="1"/>
      <c r="Z71" s="1"/>
      <c r="AA71" s="1"/>
      <c r="AB71" s="1"/>
      <c r="AC71" s="1"/>
      <c r="AD71" s="1"/>
      <c r="AE71" s="1"/>
      <c r="AF7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1" s="1"/>
    </row>
    <row r="72" spans="1:33" ht="29" hidden="1" x14ac:dyDescent="0.35">
      <c r="A72" s="1" t="s">
        <v>193</v>
      </c>
      <c r="B72" s="7" t="s">
        <v>194</v>
      </c>
      <c r="C72" t="s">
        <v>172</v>
      </c>
      <c r="D72" s="1"/>
      <c r="E72" s="1" t="b">
        <v>0</v>
      </c>
      <c r="F72" s="1" t="s">
        <v>736</v>
      </c>
      <c r="G72" s="1" t="b">
        <v>1</v>
      </c>
      <c r="J72" s="1"/>
      <c r="K72" s="1"/>
      <c r="L72" s="1" t="b">
        <f>IF(OR(Table1[[#This Row],[Does not regard DAIC-WOZ]]=TRUE,Table1[[#This Row],[Does not use MAE]]=TRUE,Table1[[#This Row],[Does not introduce new model]]=TRUE,Table1[[#This Row],[Not in English]]=TRUE,Table1[[#This Row],[Not retrieved]]=TRUE),TRUE,FALSE)</f>
        <v>1</v>
      </c>
      <c r="M72" s="1"/>
      <c r="N72" s="1"/>
      <c r="O72" s="1"/>
      <c r="P72" s="1"/>
      <c r="Q72" s="1"/>
      <c r="R72" s="1"/>
      <c r="S72" s="1"/>
      <c r="T72" s="1"/>
      <c r="U72" s="1"/>
      <c r="V72" s="1"/>
      <c r="W72" s="1"/>
      <c r="X72" s="1"/>
      <c r="Y72" s="1"/>
      <c r="Z72" s="1"/>
      <c r="AA72" s="1"/>
      <c r="AB72" s="1"/>
      <c r="AC72" s="1"/>
      <c r="AD72" s="1"/>
      <c r="AE72" s="1"/>
      <c r="AF7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2" s="1"/>
    </row>
    <row r="73" spans="1:33" ht="29" hidden="1" x14ac:dyDescent="0.35">
      <c r="A73" s="1" t="s">
        <v>195</v>
      </c>
      <c r="B73" s="7" t="s">
        <v>196</v>
      </c>
      <c r="C73" t="s">
        <v>172</v>
      </c>
      <c r="D73" s="1"/>
      <c r="E73" s="1" t="b">
        <v>0</v>
      </c>
      <c r="F73" s="1" t="s">
        <v>737</v>
      </c>
      <c r="G73" s="1" t="b">
        <v>1</v>
      </c>
      <c r="J73" s="1"/>
      <c r="K73" s="1"/>
      <c r="L73" s="1" t="b">
        <f>IF(OR(Table1[[#This Row],[Does not regard DAIC-WOZ]]=TRUE,Table1[[#This Row],[Does not use MAE]]=TRUE,Table1[[#This Row],[Does not introduce new model]]=TRUE,Table1[[#This Row],[Not in English]]=TRUE,Table1[[#This Row],[Not retrieved]]=TRUE),TRUE,FALSE)</f>
        <v>1</v>
      </c>
      <c r="M73" s="1"/>
      <c r="N73" s="1"/>
      <c r="O73" s="1"/>
      <c r="P73" s="1"/>
      <c r="Q73" s="1"/>
      <c r="R73" s="1"/>
      <c r="S73" s="1"/>
      <c r="T73" s="1"/>
      <c r="U73" s="1"/>
      <c r="V73" s="1"/>
      <c r="W73" s="1"/>
      <c r="X73" s="1"/>
      <c r="Y73" s="1"/>
      <c r="Z73" s="1"/>
      <c r="AA73" s="1"/>
      <c r="AB73" s="1"/>
      <c r="AC73" s="1"/>
      <c r="AD73" s="1"/>
      <c r="AE73" s="1"/>
      <c r="AF7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3" s="1"/>
    </row>
    <row r="74" spans="1:33" ht="29" hidden="1" x14ac:dyDescent="0.35">
      <c r="A74" s="1" t="s">
        <v>197</v>
      </c>
      <c r="B74" s="7" t="s">
        <v>198</v>
      </c>
      <c r="C74" t="s">
        <v>172</v>
      </c>
      <c r="E74" s="1" t="b">
        <v>1</v>
      </c>
      <c r="J74" s="1"/>
      <c r="K74" s="1"/>
      <c r="L74" s="1" t="b">
        <f>IF(OR(Table1[[#This Row],[Does not regard DAIC-WOZ]]=TRUE,Table1[[#This Row],[Does not use MAE]]=TRUE,Table1[[#This Row],[Does not introduce new model]]=TRUE,Table1[[#This Row],[Not in English]]=TRUE,Table1[[#This Row],[Not retrieved]]=TRUE),TRUE,FALSE)</f>
        <v>0</v>
      </c>
      <c r="M74" s="1"/>
      <c r="N74" s="1"/>
      <c r="O74" s="1"/>
      <c r="P74" s="1"/>
      <c r="Q74" s="1"/>
      <c r="R74" s="1"/>
      <c r="S74" s="1"/>
      <c r="T74" s="1"/>
      <c r="U74" s="1"/>
      <c r="V74" s="1"/>
      <c r="W74" s="1"/>
      <c r="X74" s="1"/>
      <c r="Y74" s="1"/>
      <c r="Z74" s="1"/>
      <c r="AA74" s="1"/>
      <c r="AB74" s="1"/>
      <c r="AC74" s="1"/>
      <c r="AD74" s="1"/>
      <c r="AE74" s="1"/>
      <c r="AF7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4" s="1"/>
    </row>
    <row r="75" spans="1:33" ht="29" hidden="1" x14ac:dyDescent="0.35">
      <c r="A75" s="1" t="s">
        <v>199</v>
      </c>
      <c r="C75" t="s">
        <v>172</v>
      </c>
      <c r="E75" s="1" t="b">
        <v>1</v>
      </c>
      <c r="J75" s="1"/>
      <c r="K75" s="1"/>
      <c r="L75" s="1" t="b">
        <f>IF(OR(Table1[[#This Row],[Does not regard DAIC-WOZ]]=TRUE,Table1[[#This Row],[Does not use MAE]]=TRUE,Table1[[#This Row],[Does not introduce new model]]=TRUE,Table1[[#This Row],[Not in English]]=TRUE,Table1[[#This Row],[Not retrieved]]=TRUE),TRUE,FALSE)</f>
        <v>0</v>
      </c>
      <c r="M75" s="1"/>
      <c r="N75" s="1"/>
      <c r="O75" s="1"/>
      <c r="P75" s="1"/>
      <c r="Q75" s="1"/>
      <c r="R75" s="1"/>
      <c r="S75" s="1"/>
      <c r="T75" s="1"/>
      <c r="U75" s="1"/>
      <c r="V75" s="1"/>
      <c r="W75" s="1"/>
      <c r="X75" s="1"/>
      <c r="Y75" s="1"/>
      <c r="Z75" s="1"/>
      <c r="AA75" s="1"/>
      <c r="AB75" s="1"/>
      <c r="AC75" s="1"/>
      <c r="AD75" s="1"/>
      <c r="AE75" s="1"/>
      <c r="AF7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5" s="1"/>
    </row>
    <row r="76" spans="1:33" ht="29" hidden="1" x14ac:dyDescent="0.35">
      <c r="A76" s="1" t="s">
        <v>200</v>
      </c>
      <c r="C76" t="s">
        <v>172</v>
      </c>
      <c r="E76" s="1" t="b">
        <v>1</v>
      </c>
      <c r="J76" s="1"/>
      <c r="K76" s="1"/>
      <c r="L76" s="1" t="b">
        <f>IF(OR(Table1[[#This Row],[Does not regard DAIC-WOZ]]=TRUE,Table1[[#This Row],[Does not use MAE]]=TRUE,Table1[[#This Row],[Does not introduce new model]]=TRUE,Table1[[#This Row],[Not in English]]=TRUE,Table1[[#This Row],[Not retrieved]]=TRUE),TRUE,FALSE)</f>
        <v>0</v>
      </c>
      <c r="M76" s="1"/>
      <c r="N76" s="1"/>
      <c r="O76" s="1"/>
      <c r="P76" s="1"/>
      <c r="Q76" s="1"/>
      <c r="R76" s="1"/>
      <c r="S76" s="1"/>
      <c r="T76" s="1"/>
      <c r="U76" s="1"/>
      <c r="V76" s="1"/>
      <c r="W76" s="1"/>
      <c r="X76" s="1"/>
      <c r="Y76" s="1"/>
      <c r="Z76" s="1"/>
      <c r="AA76" s="1"/>
      <c r="AB76" s="1"/>
      <c r="AC76" s="1"/>
      <c r="AD76" s="1"/>
      <c r="AE76" s="1"/>
      <c r="AF7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6" s="1"/>
    </row>
    <row r="77" spans="1:33" ht="43.5" hidden="1" x14ac:dyDescent="0.35">
      <c r="A77" s="1" t="s">
        <v>201</v>
      </c>
      <c r="C77" t="s">
        <v>172</v>
      </c>
      <c r="E77" s="1" t="b">
        <v>1</v>
      </c>
      <c r="J77" s="1"/>
      <c r="K77" s="1"/>
      <c r="L77" s="1" t="b">
        <f>IF(OR(Table1[[#This Row],[Does not regard DAIC-WOZ]]=TRUE,Table1[[#This Row],[Does not use MAE]]=TRUE,Table1[[#This Row],[Does not introduce new model]]=TRUE,Table1[[#This Row],[Not in English]]=TRUE,Table1[[#This Row],[Not retrieved]]=TRUE),TRUE,FALSE)</f>
        <v>0</v>
      </c>
      <c r="M77" s="1"/>
      <c r="N77" s="1"/>
      <c r="O77" s="1"/>
      <c r="P77" s="1"/>
      <c r="Q77" s="1"/>
      <c r="R77" s="1"/>
      <c r="S77" s="1"/>
      <c r="T77" s="1"/>
      <c r="U77" s="1"/>
      <c r="V77" s="1"/>
      <c r="W77" s="1"/>
      <c r="X77" s="1"/>
      <c r="Y77" s="1"/>
      <c r="Z77" s="1"/>
      <c r="AA77" s="1"/>
      <c r="AB77" s="1"/>
      <c r="AC77" s="1"/>
      <c r="AD77" s="1"/>
      <c r="AE77" s="1"/>
      <c r="AF7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7" s="1"/>
    </row>
    <row r="78" spans="1:33" ht="29" hidden="1" x14ac:dyDescent="0.35">
      <c r="A78" s="1" t="s">
        <v>202</v>
      </c>
      <c r="C78" t="s">
        <v>172</v>
      </c>
      <c r="E78" s="1" t="b">
        <v>1</v>
      </c>
      <c r="J78" s="1"/>
      <c r="K78" s="1"/>
      <c r="L78" s="1" t="b">
        <f>IF(OR(Table1[[#This Row],[Does not regard DAIC-WOZ]]=TRUE,Table1[[#This Row],[Does not use MAE]]=TRUE,Table1[[#This Row],[Does not introduce new model]]=TRUE,Table1[[#This Row],[Not in English]]=TRUE,Table1[[#This Row],[Not retrieved]]=TRUE),TRUE,FALSE)</f>
        <v>0</v>
      </c>
      <c r="M78" s="1"/>
      <c r="N78" s="1"/>
      <c r="O78" s="1"/>
      <c r="P78" s="1"/>
      <c r="Q78" s="1"/>
      <c r="R78" s="1"/>
      <c r="S78" s="1"/>
      <c r="T78" s="1"/>
      <c r="U78" s="1"/>
      <c r="V78" s="1"/>
      <c r="W78" s="1"/>
      <c r="X78" s="1"/>
      <c r="Y78" s="1"/>
      <c r="Z78" s="1"/>
      <c r="AA78" s="1"/>
      <c r="AB78" s="1"/>
      <c r="AC78" s="1"/>
      <c r="AD78" s="1"/>
      <c r="AE78" s="1"/>
      <c r="AF7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8" s="1"/>
    </row>
    <row r="79" spans="1:33" ht="43.5" hidden="1" x14ac:dyDescent="0.35">
      <c r="A79" s="1" t="s">
        <v>203</v>
      </c>
      <c r="B79" s="7" t="s">
        <v>204</v>
      </c>
      <c r="C79" t="s">
        <v>172</v>
      </c>
      <c r="E79" s="1" t="b">
        <v>1</v>
      </c>
      <c r="J79" s="1"/>
      <c r="K79" s="1"/>
      <c r="L79" s="1" t="b">
        <f>IF(OR(Table1[[#This Row],[Does not regard DAIC-WOZ]]=TRUE,Table1[[#This Row],[Does not use MAE]]=TRUE,Table1[[#This Row],[Does not introduce new model]]=TRUE,Table1[[#This Row],[Not in English]]=TRUE,Table1[[#This Row],[Not retrieved]]=TRUE),TRUE,FALSE)</f>
        <v>0</v>
      </c>
      <c r="M79" s="1"/>
      <c r="N79" s="1"/>
      <c r="O79" s="1"/>
      <c r="P79" s="1"/>
      <c r="Q79" s="1"/>
      <c r="R79" s="1"/>
      <c r="S79" s="1"/>
      <c r="T79" s="1"/>
      <c r="U79" s="1"/>
      <c r="V79" s="1"/>
      <c r="W79" s="1"/>
      <c r="X79" s="1"/>
      <c r="Y79" s="1"/>
      <c r="Z79" s="1"/>
      <c r="AA79" s="1"/>
      <c r="AB79" s="1"/>
      <c r="AC79" s="1"/>
      <c r="AD79" s="1"/>
      <c r="AE79" s="1"/>
      <c r="AF7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79" s="1"/>
    </row>
    <row r="80" spans="1:33" ht="29" hidden="1" x14ac:dyDescent="0.35">
      <c r="A80" s="1" t="s">
        <v>205</v>
      </c>
      <c r="C80" t="s">
        <v>172</v>
      </c>
      <c r="E80" s="1" t="b">
        <v>1</v>
      </c>
      <c r="J80" s="1"/>
      <c r="K80" s="1"/>
      <c r="L80" s="1" t="b">
        <f>IF(OR(Table1[[#This Row],[Does not regard DAIC-WOZ]]=TRUE,Table1[[#This Row],[Does not use MAE]]=TRUE,Table1[[#This Row],[Does not introduce new model]]=TRUE,Table1[[#This Row],[Not in English]]=TRUE,Table1[[#This Row],[Not retrieved]]=TRUE),TRUE,FALSE)</f>
        <v>0</v>
      </c>
      <c r="M80" s="1"/>
      <c r="N80" s="1"/>
      <c r="O80" s="1"/>
      <c r="P80" s="1"/>
      <c r="Q80" s="1"/>
      <c r="R80" s="1"/>
      <c r="S80" s="1"/>
      <c r="T80" s="1"/>
      <c r="U80" s="1"/>
      <c r="V80" s="1"/>
      <c r="W80" s="1"/>
      <c r="X80" s="1"/>
      <c r="Y80" s="1"/>
      <c r="Z80" s="1"/>
      <c r="AA80" s="1"/>
      <c r="AB80" s="1"/>
      <c r="AC80" s="1"/>
      <c r="AD80" s="1"/>
      <c r="AE80" s="1"/>
      <c r="AF8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0" s="1"/>
    </row>
    <row r="81" spans="1:33" ht="29" hidden="1" x14ac:dyDescent="0.35">
      <c r="A81" s="1" t="s">
        <v>206</v>
      </c>
      <c r="B81" s="7" t="s">
        <v>207</v>
      </c>
      <c r="C81" t="s">
        <v>172</v>
      </c>
      <c r="E81" s="1" t="b">
        <v>1</v>
      </c>
      <c r="J81" s="1"/>
      <c r="K81" s="1"/>
      <c r="L81" s="1" t="b">
        <f>IF(OR(Table1[[#This Row],[Does not regard DAIC-WOZ]]=TRUE,Table1[[#This Row],[Does not use MAE]]=TRUE,Table1[[#This Row],[Does not introduce new model]]=TRUE,Table1[[#This Row],[Not in English]]=TRUE,Table1[[#This Row],[Not retrieved]]=TRUE),TRUE,FALSE)</f>
        <v>0</v>
      </c>
      <c r="M81" s="1"/>
      <c r="N81" s="1"/>
      <c r="O81" s="1"/>
      <c r="P81" s="1"/>
      <c r="Q81" s="1"/>
      <c r="R81" s="1"/>
      <c r="S81" s="1"/>
      <c r="T81" s="1"/>
      <c r="U81" s="1"/>
      <c r="V81" s="1"/>
      <c r="W81" s="1"/>
      <c r="X81" s="1"/>
      <c r="Y81" s="1"/>
      <c r="Z81" s="1"/>
      <c r="AA81" s="1"/>
      <c r="AB81" s="1"/>
      <c r="AC81" s="1"/>
      <c r="AD81" s="1"/>
      <c r="AE81" s="1"/>
      <c r="AF8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1" s="1"/>
    </row>
    <row r="82" spans="1:33" ht="43.5" hidden="1" x14ac:dyDescent="0.35">
      <c r="A82" s="1" t="s">
        <v>208</v>
      </c>
      <c r="C82" t="s">
        <v>172</v>
      </c>
      <c r="E82" s="1" t="b">
        <v>1</v>
      </c>
      <c r="J82" s="1"/>
      <c r="K82" s="1"/>
      <c r="L82" s="1" t="b">
        <f>IF(OR(Table1[[#This Row],[Does not regard DAIC-WOZ]]=TRUE,Table1[[#This Row],[Does not use MAE]]=TRUE,Table1[[#This Row],[Does not introduce new model]]=TRUE,Table1[[#This Row],[Not in English]]=TRUE,Table1[[#This Row],[Not retrieved]]=TRUE),TRUE,FALSE)</f>
        <v>0</v>
      </c>
      <c r="M82" s="1"/>
      <c r="N82" s="1"/>
      <c r="O82" s="1"/>
      <c r="P82" s="1"/>
      <c r="Q82" s="1"/>
      <c r="R82" s="1"/>
      <c r="S82" s="1"/>
      <c r="T82" s="1"/>
      <c r="U82" s="1"/>
      <c r="V82" s="1"/>
      <c r="W82" s="1"/>
      <c r="X82" s="1"/>
      <c r="Y82" s="1"/>
      <c r="Z82" s="1"/>
      <c r="AA82" s="1"/>
      <c r="AB82" s="1"/>
      <c r="AC82" s="1"/>
      <c r="AD82" s="1"/>
      <c r="AE82" s="1"/>
      <c r="AF8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2" s="1"/>
    </row>
    <row r="83" spans="1:33" hidden="1" x14ac:dyDescent="0.35">
      <c r="A83" s="1" t="s">
        <v>209</v>
      </c>
      <c r="C83" t="s">
        <v>172</v>
      </c>
      <c r="E83" s="1" t="b">
        <v>1</v>
      </c>
      <c r="J83" s="1"/>
      <c r="K83" s="1"/>
      <c r="L83" s="1" t="b">
        <f>IF(OR(Table1[[#This Row],[Does not regard DAIC-WOZ]]=TRUE,Table1[[#This Row],[Does not use MAE]]=TRUE,Table1[[#This Row],[Does not introduce new model]]=TRUE,Table1[[#This Row],[Not in English]]=TRUE,Table1[[#This Row],[Not retrieved]]=TRUE),TRUE,FALSE)</f>
        <v>0</v>
      </c>
      <c r="M83" s="1"/>
      <c r="N83" s="1"/>
      <c r="O83" s="1"/>
      <c r="P83" s="1"/>
      <c r="Q83" s="1"/>
      <c r="R83" s="1"/>
      <c r="S83" s="1"/>
      <c r="T83" s="1"/>
      <c r="U83" s="1"/>
      <c r="V83" s="1"/>
      <c r="W83" s="1"/>
      <c r="X83" s="1"/>
      <c r="Y83" s="1"/>
      <c r="Z83" s="1"/>
      <c r="AA83" s="1"/>
      <c r="AB83" s="1"/>
      <c r="AC83" s="1"/>
      <c r="AD83" s="1"/>
      <c r="AE83" s="1"/>
      <c r="AF8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3" s="1"/>
    </row>
    <row r="84" spans="1:33" ht="29" hidden="1" x14ac:dyDescent="0.35">
      <c r="A84" s="1" t="s">
        <v>210</v>
      </c>
      <c r="C84" t="s">
        <v>172</v>
      </c>
      <c r="E84" s="1" t="b">
        <v>1</v>
      </c>
      <c r="J84" s="1"/>
      <c r="K84" s="1"/>
      <c r="L84" s="1" t="b">
        <f>IF(OR(Table1[[#This Row],[Does not regard DAIC-WOZ]]=TRUE,Table1[[#This Row],[Does not use MAE]]=TRUE,Table1[[#This Row],[Does not introduce new model]]=TRUE,Table1[[#This Row],[Not in English]]=TRUE,Table1[[#This Row],[Not retrieved]]=TRUE),TRUE,FALSE)</f>
        <v>0</v>
      </c>
      <c r="M84" s="1"/>
      <c r="N84" s="1"/>
      <c r="O84" s="1"/>
      <c r="P84" s="1"/>
      <c r="Q84" s="1"/>
      <c r="R84" s="1"/>
      <c r="S84" s="1"/>
      <c r="T84" s="1"/>
      <c r="U84" s="1"/>
      <c r="V84" s="1"/>
      <c r="W84" s="1"/>
      <c r="X84" s="1"/>
      <c r="Y84" s="1"/>
      <c r="Z84" s="1"/>
      <c r="AA84" s="1"/>
      <c r="AB84" s="1"/>
      <c r="AC84" s="1"/>
      <c r="AD84" s="1"/>
      <c r="AE84" s="1"/>
      <c r="AF8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4" s="1"/>
    </row>
    <row r="85" spans="1:33" ht="58" hidden="1" x14ac:dyDescent="0.35">
      <c r="A85" s="1" t="s">
        <v>211</v>
      </c>
      <c r="B85" s="7" t="s">
        <v>212</v>
      </c>
      <c r="C85" t="s">
        <v>172</v>
      </c>
      <c r="E85" s="1" t="b">
        <v>1</v>
      </c>
      <c r="J85" s="1"/>
      <c r="K85" s="1"/>
      <c r="L85" s="1" t="b">
        <f>IF(OR(Table1[[#This Row],[Does not regard DAIC-WOZ]]=TRUE,Table1[[#This Row],[Does not use MAE]]=TRUE,Table1[[#This Row],[Does not introduce new model]]=TRUE,Table1[[#This Row],[Not in English]]=TRUE,Table1[[#This Row],[Not retrieved]]=TRUE),TRUE,FALSE)</f>
        <v>0</v>
      </c>
      <c r="M85" s="1"/>
      <c r="N85" s="1"/>
      <c r="O85" s="1"/>
      <c r="P85" s="1"/>
      <c r="Q85" s="1"/>
      <c r="R85" s="1"/>
      <c r="S85" s="1"/>
      <c r="T85" s="1"/>
      <c r="U85" s="1"/>
      <c r="V85" s="1"/>
      <c r="W85" s="1"/>
      <c r="X85" s="1"/>
      <c r="Y85" s="1"/>
      <c r="Z85" s="1"/>
      <c r="AA85" s="1"/>
      <c r="AB85" s="1"/>
      <c r="AC85" s="1"/>
      <c r="AD85" s="1"/>
      <c r="AE85" s="1"/>
      <c r="AF8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5" s="1"/>
    </row>
    <row r="86" spans="1:33" ht="29" hidden="1" x14ac:dyDescent="0.35">
      <c r="A86" s="1" t="s">
        <v>213</v>
      </c>
      <c r="C86" t="s">
        <v>172</v>
      </c>
      <c r="E86" s="1" t="b">
        <v>1</v>
      </c>
      <c r="J86" s="1"/>
      <c r="K86" s="1"/>
      <c r="L86" s="1" t="b">
        <f>IF(OR(Table1[[#This Row],[Does not regard DAIC-WOZ]]=TRUE,Table1[[#This Row],[Does not use MAE]]=TRUE,Table1[[#This Row],[Does not introduce new model]]=TRUE,Table1[[#This Row],[Not in English]]=TRUE,Table1[[#This Row],[Not retrieved]]=TRUE),TRUE,FALSE)</f>
        <v>0</v>
      </c>
      <c r="M86" s="1"/>
      <c r="N86" s="1"/>
      <c r="O86" s="1"/>
      <c r="P86" s="1"/>
      <c r="Q86" s="1"/>
      <c r="R86" s="1"/>
      <c r="S86" s="1"/>
      <c r="T86" s="1"/>
      <c r="U86" s="1"/>
      <c r="V86" s="1"/>
      <c r="W86" s="1"/>
      <c r="X86" s="1"/>
      <c r="Y86" s="1"/>
      <c r="Z86" s="1"/>
      <c r="AA86" s="1"/>
      <c r="AB86" s="1"/>
      <c r="AC86" s="1"/>
      <c r="AD86" s="1"/>
      <c r="AE86" s="1"/>
      <c r="AF8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6" s="1"/>
    </row>
    <row r="87" spans="1:33" ht="29" hidden="1" x14ac:dyDescent="0.35">
      <c r="A87" s="1" t="s">
        <v>214</v>
      </c>
      <c r="C87" t="s">
        <v>172</v>
      </c>
      <c r="E87" s="1" t="b">
        <v>1</v>
      </c>
      <c r="J87" s="1"/>
      <c r="K87" s="1"/>
      <c r="L87" s="1" t="b">
        <f>IF(OR(Table1[[#This Row],[Does not regard DAIC-WOZ]]=TRUE,Table1[[#This Row],[Does not use MAE]]=TRUE,Table1[[#This Row],[Does not introduce new model]]=TRUE,Table1[[#This Row],[Not in English]]=TRUE,Table1[[#This Row],[Not retrieved]]=TRUE),TRUE,FALSE)</f>
        <v>0</v>
      </c>
      <c r="M87" s="1"/>
      <c r="N87" s="1"/>
      <c r="O87" s="1"/>
      <c r="P87" s="1"/>
      <c r="Q87" s="1"/>
      <c r="R87" s="1"/>
      <c r="S87" s="1"/>
      <c r="T87" s="1"/>
      <c r="U87" s="1"/>
      <c r="V87" s="1"/>
      <c r="W87" s="1"/>
      <c r="X87" s="1"/>
      <c r="Y87" s="1"/>
      <c r="Z87" s="1"/>
      <c r="AA87" s="1"/>
      <c r="AB87" s="1"/>
      <c r="AC87" s="1"/>
      <c r="AD87" s="1"/>
      <c r="AE87" s="1"/>
      <c r="AF8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7" s="1"/>
    </row>
    <row r="88" spans="1:33" ht="29" hidden="1" x14ac:dyDescent="0.35">
      <c r="A88" s="1" t="s">
        <v>215</v>
      </c>
      <c r="C88" t="s">
        <v>172</v>
      </c>
      <c r="E88" s="1" t="b">
        <v>1</v>
      </c>
      <c r="J88" s="1"/>
      <c r="K88" s="1"/>
      <c r="L88" s="1" t="b">
        <f>IF(OR(Table1[[#This Row],[Does not regard DAIC-WOZ]]=TRUE,Table1[[#This Row],[Does not use MAE]]=TRUE,Table1[[#This Row],[Does not introduce new model]]=TRUE,Table1[[#This Row],[Not in English]]=TRUE,Table1[[#This Row],[Not retrieved]]=TRUE),TRUE,FALSE)</f>
        <v>0</v>
      </c>
      <c r="M88" s="1"/>
      <c r="N88" s="1"/>
      <c r="O88" s="1"/>
      <c r="P88" s="1"/>
      <c r="Q88" s="1"/>
      <c r="R88" s="1"/>
      <c r="S88" s="1"/>
      <c r="T88" s="1"/>
      <c r="U88" s="1"/>
      <c r="V88" s="1"/>
      <c r="W88" s="1"/>
      <c r="X88" s="1"/>
      <c r="Y88" s="1"/>
      <c r="Z88" s="1"/>
      <c r="AA88" s="1"/>
      <c r="AB88" s="1"/>
      <c r="AC88" s="1"/>
      <c r="AD88" s="1"/>
      <c r="AE88" s="1"/>
      <c r="AF8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8" s="1"/>
    </row>
    <row r="89" spans="1:33" ht="29" hidden="1" x14ac:dyDescent="0.35">
      <c r="A89" s="1" t="s">
        <v>216</v>
      </c>
      <c r="C89" t="s">
        <v>172</v>
      </c>
      <c r="E89" s="1" t="b">
        <v>1</v>
      </c>
      <c r="J89" s="1"/>
      <c r="K89" s="1"/>
      <c r="L89" s="1" t="b">
        <f>IF(OR(Table1[[#This Row],[Does not regard DAIC-WOZ]]=TRUE,Table1[[#This Row],[Does not use MAE]]=TRUE,Table1[[#This Row],[Does not introduce new model]]=TRUE,Table1[[#This Row],[Not in English]]=TRUE,Table1[[#This Row],[Not retrieved]]=TRUE),TRUE,FALSE)</f>
        <v>0</v>
      </c>
      <c r="M89" s="1"/>
      <c r="N89" s="1"/>
      <c r="O89" s="1"/>
      <c r="P89" s="1"/>
      <c r="Q89" s="1"/>
      <c r="R89" s="1"/>
      <c r="S89" s="1"/>
      <c r="T89" s="1"/>
      <c r="U89" s="1"/>
      <c r="V89" s="1"/>
      <c r="W89" s="1"/>
      <c r="X89" s="1"/>
      <c r="Y89" s="1"/>
      <c r="Z89" s="1"/>
      <c r="AA89" s="1"/>
      <c r="AB89" s="1"/>
      <c r="AC89" s="1"/>
      <c r="AD89" s="1"/>
      <c r="AE89" s="1"/>
      <c r="AF8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89" s="1"/>
    </row>
    <row r="90" spans="1:33" ht="29" hidden="1" x14ac:dyDescent="0.35">
      <c r="A90" s="1" t="s">
        <v>217</v>
      </c>
      <c r="C90" t="s">
        <v>172</v>
      </c>
      <c r="E90" s="1" t="b">
        <v>1</v>
      </c>
      <c r="J90" s="1"/>
      <c r="K90" s="1"/>
      <c r="L90" s="1" t="b">
        <f>IF(OR(Table1[[#This Row],[Does not regard DAIC-WOZ]]=TRUE,Table1[[#This Row],[Does not use MAE]]=TRUE,Table1[[#This Row],[Does not introduce new model]]=TRUE,Table1[[#This Row],[Not in English]]=TRUE,Table1[[#This Row],[Not retrieved]]=TRUE),TRUE,FALSE)</f>
        <v>0</v>
      </c>
      <c r="M90" s="1"/>
      <c r="N90" s="1"/>
      <c r="O90" s="1"/>
      <c r="P90" s="1"/>
      <c r="Q90" s="1"/>
      <c r="R90" s="1"/>
      <c r="S90" s="1"/>
      <c r="T90" s="1"/>
      <c r="U90" s="1"/>
      <c r="V90" s="1"/>
      <c r="W90" s="1"/>
      <c r="X90" s="1"/>
      <c r="Y90" s="1"/>
      <c r="Z90" s="1"/>
      <c r="AA90" s="1"/>
      <c r="AB90" s="1"/>
      <c r="AC90" s="1"/>
      <c r="AD90" s="1"/>
      <c r="AE90" s="1"/>
      <c r="AF9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0" s="1"/>
    </row>
    <row r="91" spans="1:33" ht="29" hidden="1" x14ac:dyDescent="0.35">
      <c r="A91" s="1" t="s">
        <v>218</v>
      </c>
      <c r="C91" t="s">
        <v>172</v>
      </c>
      <c r="E91" s="1" t="b">
        <v>1</v>
      </c>
      <c r="J91" s="1"/>
      <c r="K91" s="1"/>
      <c r="L91" s="1" t="b">
        <f>IF(OR(Table1[[#This Row],[Does not regard DAIC-WOZ]]=TRUE,Table1[[#This Row],[Does not use MAE]]=TRUE,Table1[[#This Row],[Does not introduce new model]]=TRUE,Table1[[#This Row],[Not in English]]=TRUE,Table1[[#This Row],[Not retrieved]]=TRUE),TRUE,FALSE)</f>
        <v>0</v>
      </c>
      <c r="M91" s="1"/>
      <c r="N91" s="1"/>
      <c r="O91" s="1"/>
      <c r="P91" s="1"/>
      <c r="Q91" s="1"/>
      <c r="R91" s="1"/>
      <c r="S91" s="1"/>
      <c r="T91" s="1"/>
      <c r="U91" s="1"/>
      <c r="V91" s="1"/>
      <c r="W91" s="1"/>
      <c r="X91" s="1"/>
      <c r="Y91" s="1"/>
      <c r="Z91" s="1"/>
      <c r="AA91" s="1"/>
      <c r="AB91" s="1"/>
      <c r="AC91" s="1"/>
      <c r="AD91" s="1"/>
      <c r="AE91" s="1"/>
      <c r="AF9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1" s="1"/>
    </row>
    <row r="92" spans="1:33" ht="29" hidden="1" x14ac:dyDescent="0.35">
      <c r="A92" s="1" t="s">
        <v>219</v>
      </c>
      <c r="B92" s="7" t="s">
        <v>220</v>
      </c>
      <c r="C92" t="s">
        <v>172</v>
      </c>
      <c r="E92" s="1" t="b">
        <v>1</v>
      </c>
      <c r="J92" s="1"/>
      <c r="K92" s="1"/>
      <c r="L92" s="1" t="b">
        <f>IF(OR(Table1[[#This Row],[Does not regard DAIC-WOZ]]=TRUE,Table1[[#This Row],[Does not use MAE]]=TRUE,Table1[[#This Row],[Does not introduce new model]]=TRUE,Table1[[#This Row],[Not in English]]=TRUE,Table1[[#This Row],[Not retrieved]]=TRUE),TRUE,FALSE)</f>
        <v>0</v>
      </c>
      <c r="M92" s="1"/>
      <c r="N92" s="1"/>
      <c r="O92" s="1"/>
      <c r="P92" s="1"/>
      <c r="Q92" s="1"/>
      <c r="R92" s="1"/>
      <c r="S92" s="1"/>
      <c r="T92" s="1"/>
      <c r="U92" s="1"/>
      <c r="V92" s="1"/>
      <c r="W92" s="1"/>
      <c r="X92" s="1"/>
      <c r="Y92" s="1"/>
      <c r="Z92" s="1"/>
      <c r="AA92" s="1"/>
      <c r="AB92" s="1"/>
      <c r="AC92" s="1"/>
      <c r="AD92" s="1"/>
      <c r="AE92" s="1"/>
      <c r="AF9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2" s="1"/>
    </row>
    <row r="93" spans="1:33" ht="43.5" hidden="1" x14ac:dyDescent="0.35">
      <c r="A93" s="1" t="s">
        <v>221</v>
      </c>
      <c r="C93" t="s">
        <v>172</v>
      </c>
      <c r="E93" s="1" t="b">
        <v>1</v>
      </c>
      <c r="J93" s="1"/>
      <c r="K93" s="1"/>
      <c r="L93" s="1" t="b">
        <f>IF(OR(Table1[[#This Row],[Does not regard DAIC-WOZ]]=TRUE,Table1[[#This Row],[Does not use MAE]]=TRUE,Table1[[#This Row],[Does not introduce new model]]=TRUE,Table1[[#This Row],[Not in English]]=TRUE,Table1[[#This Row],[Not retrieved]]=TRUE),TRUE,FALSE)</f>
        <v>0</v>
      </c>
      <c r="M93" s="1"/>
      <c r="N93" s="1"/>
      <c r="O93" s="1"/>
      <c r="P93" s="1"/>
      <c r="Q93" s="1"/>
      <c r="R93" s="1"/>
      <c r="S93" s="1"/>
      <c r="T93" s="1"/>
      <c r="U93" s="1"/>
      <c r="V93" s="1"/>
      <c r="W93" s="1"/>
      <c r="X93" s="1"/>
      <c r="Y93" s="1"/>
      <c r="Z93" s="1"/>
      <c r="AA93" s="1"/>
      <c r="AB93" s="1"/>
      <c r="AC93" s="1"/>
      <c r="AD93" s="1"/>
      <c r="AE93" s="1"/>
      <c r="AF9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3" s="1"/>
    </row>
    <row r="94" spans="1:33" ht="43.5" hidden="1" x14ac:dyDescent="0.35">
      <c r="A94" s="1" t="s">
        <v>222</v>
      </c>
      <c r="B94" s="7" t="s">
        <v>223</v>
      </c>
      <c r="C94" t="s">
        <v>172</v>
      </c>
      <c r="E94" s="1" t="b">
        <v>1</v>
      </c>
      <c r="J94" s="1"/>
      <c r="K94" s="1"/>
      <c r="L94" s="1" t="b">
        <f>IF(OR(Table1[[#This Row],[Does not regard DAIC-WOZ]]=TRUE,Table1[[#This Row],[Does not use MAE]]=TRUE,Table1[[#This Row],[Does not introduce new model]]=TRUE,Table1[[#This Row],[Not in English]]=TRUE,Table1[[#This Row],[Not retrieved]]=TRUE),TRUE,FALSE)</f>
        <v>0</v>
      </c>
      <c r="M94" s="1"/>
      <c r="N94" s="1"/>
      <c r="O94" s="1"/>
      <c r="P94" s="1"/>
      <c r="Q94" s="1"/>
      <c r="R94" s="1"/>
      <c r="S94" s="1"/>
      <c r="T94" s="1"/>
      <c r="U94" s="1"/>
      <c r="V94" s="1"/>
      <c r="W94" s="1"/>
      <c r="X94" s="1"/>
      <c r="Y94" s="1"/>
      <c r="Z94" s="1"/>
      <c r="AA94" s="1"/>
      <c r="AB94" s="1"/>
      <c r="AC94" s="1"/>
      <c r="AD94" s="1"/>
      <c r="AE94" s="1"/>
      <c r="AF9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4" s="1"/>
    </row>
    <row r="95" spans="1:33" ht="43.5" hidden="1" x14ac:dyDescent="0.35">
      <c r="A95" s="1" t="s">
        <v>224</v>
      </c>
      <c r="C95" t="s">
        <v>172</v>
      </c>
      <c r="E95" s="1" t="b">
        <v>1</v>
      </c>
      <c r="J95" s="1"/>
      <c r="K95" s="1"/>
      <c r="L95" s="1" t="b">
        <f>IF(OR(Table1[[#This Row],[Does not regard DAIC-WOZ]]=TRUE,Table1[[#This Row],[Does not use MAE]]=TRUE,Table1[[#This Row],[Does not introduce new model]]=TRUE,Table1[[#This Row],[Not in English]]=TRUE,Table1[[#This Row],[Not retrieved]]=TRUE),TRUE,FALSE)</f>
        <v>0</v>
      </c>
      <c r="M95" s="1"/>
      <c r="N95" s="1"/>
      <c r="O95" s="1"/>
      <c r="P95" s="1"/>
      <c r="Q95" s="1"/>
      <c r="R95" s="1"/>
      <c r="S95" s="1"/>
      <c r="T95" s="1"/>
      <c r="U95" s="1"/>
      <c r="V95" s="1"/>
      <c r="W95" s="1"/>
      <c r="X95" s="1"/>
      <c r="Y95" s="1"/>
      <c r="Z95" s="1"/>
      <c r="AA95" s="1"/>
      <c r="AB95" s="1"/>
      <c r="AC95" s="1"/>
      <c r="AD95" s="1"/>
      <c r="AE95" s="1"/>
      <c r="AF9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5" s="1"/>
    </row>
    <row r="96" spans="1:33" ht="29" hidden="1" x14ac:dyDescent="0.35">
      <c r="A96" s="1" t="s">
        <v>225</v>
      </c>
      <c r="C96" t="s">
        <v>172</v>
      </c>
      <c r="E96" s="1" t="b">
        <v>1</v>
      </c>
      <c r="J96" s="1"/>
      <c r="K96" s="1"/>
      <c r="L96" s="1" t="b">
        <f>IF(OR(Table1[[#This Row],[Does not regard DAIC-WOZ]]=TRUE,Table1[[#This Row],[Does not use MAE]]=TRUE,Table1[[#This Row],[Does not introduce new model]]=TRUE,Table1[[#This Row],[Not in English]]=TRUE,Table1[[#This Row],[Not retrieved]]=TRUE),TRUE,FALSE)</f>
        <v>0</v>
      </c>
      <c r="M96" s="1"/>
      <c r="N96" s="1"/>
      <c r="O96" s="1"/>
      <c r="P96" s="1"/>
      <c r="Q96" s="1"/>
      <c r="R96" s="1"/>
      <c r="S96" s="1"/>
      <c r="T96" s="1"/>
      <c r="U96" s="1"/>
      <c r="V96" s="1"/>
      <c r="W96" s="1"/>
      <c r="X96" s="1"/>
      <c r="Y96" s="1"/>
      <c r="Z96" s="1"/>
      <c r="AA96" s="1"/>
      <c r="AB96" s="1"/>
      <c r="AC96" s="1"/>
      <c r="AD96" s="1"/>
      <c r="AE96" s="1"/>
      <c r="AF9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6" s="1"/>
    </row>
    <row r="97" spans="1:33" ht="43.5" hidden="1" x14ac:dyDescent="0.35">
      <c r="A97" s="1" t="s">
        <v>226</v>
      </c>
      <c r="C97" t="s">
        <v>172</v>
      </c>
      <c r="E97" s="1" t="b">
        <v>1</v>
      </c>
      <c r="J97" s="1"/>
      <c r="K97" s="1"/>
      <c r="L97" s="1" t="b">
        <f>IF(OR(Table1[[#This Row],[Does not regard DAIC-WOZ]]=TRUE,Table1[[#This Row],[Does not use MAE]]=TRUE,Table1[[#This Row],[Does not introduce new model]]=TRUE,Table1[[#This Row],[Not in English]]=TRUE,Table1[[#This Row],[Not retrieved]]=TRUE),TRUE,FALSE)</f>
        <v>0</v>
      </c>
      <c r="M97" s="1"/>
      <c r="N97" s="1"/>
      <c r="O97" s="1"/>
      <c r="P97" s="1"/>
      <c r="Q97" s="1"/>
      <c r="R97" s="1"/>
      <c r="S97" s="1"/>
      <c r="T97" s="1"/>
      <c r="U97" s="1"/>
      <c r="V97" s="1"/>
      <c r="W97" s="1"/>
      <c r="X97" s="1"/>
      <c r="Y97" s="1"/>
      <c r="Z97" s="1"/>
      <c r="AA97" s="1"/>
      <c r="AB97" s="1"/>
      <c r="AC97" s="1"/>
      <c r="AD97" s="1"/>
      <c r="AE97" s="1"/>
      <c r="AF9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7" s="1"/>
    </row>
    <row r="98" spans="1:33" ht="43.5" hidden="1" x14ac:dyDescent="0.35">
      <c r="A98" s="1" t="s">
        <v>227</v>
      </c>
      <c r="B98" s="7" t="s">
        <v>228</v>
      </c>
      <c r="C98" t="s">
        <v>172</v>
      </c>
      <c r="E98" s="1" t="b">
        <v>1</v>
      </c>
      <c r="J98" s="1"/>
      <c r="K98" s="1"/>
      <c r="L98" s="1" t="b">
        <f>IF(OR(Table1[[#This Row],[Does not regard DAIC-WOZ]]=TRUE,Table1[[#This Row],[Does not use MAE]]=TRUE,Table1[[#This Row],[Does not introduce new model]]=TRUE,Table1[[#This Row],[Not in English]]=TRUE,Table1[[#This Row],[Not retrieved]]=TRUE),TRUE,FALSE)</f>
        <v>0</v>
      </c>
      <c r="M98" s="1"/>
      <c r="N98" s="1"/>
      <c r="O98" s="1"/>
      <c r="P98" s="1"/>
      <c r="Q98" s="1"/>
      <c r="R98" s="1"/>
      <c r="S98" s="1"/>
      <c r="T98" s="1"/>
      <c r="U98" s="1"/>
      <c r="V98" s="1"/>
      <c r="W98" s="1"/>
      <c r="X98" s="1"/>
      <c r="Y98" s="1"/>
      <c r="Z98" s="1"/>
      <c r="AA98" s="1"/>
      <c r="AB98" s="1"/>
      <c r="AC98" s="1"/>
      <c r="AD98" s="1"/>
      <c r="AE98" s="1"/>
      <c r="AF9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8" s="1"/>
    </row>
    <row r="99" spans="1:33" ht="43.5" hidden="1" x14ac:dyDescent="0.35">
      <c r="A99" s="1" t="s">
        <v>229</v>
      </c>
      <c r="C99" t="s">
        <v>172</v>
      </c>
      <c r="E99" s="1" t="b">
        <v>1</v>
      </c>
      <c r="J99" s="1"/>
      <c r="K99" s="1"/>
      <c r="L99" s="1" t="b">
        <f>IF(OR(Table1[[#This Row],[Does not regard DAIC-WOZ]]=TRUE,Table1[[#This Row],[Does not use MAE]]=TRUE,Table1[[#This Row],[Does not introduce new model]]=TRUE,Table1[[#This Row],[Not in English]]=TRUE,Table1[[#This Row],[Not retrieved]]=TRUE),TRUE,FALSE)</f>
        <v>0</v>
      </c>
      <c r="M99" s="1"/>
      <c r="N99" s="1"/>
      <c r="O99" s="1"/>
      <c r="P99" s="1"/>
      <c r="Q99" s="1"/>
      <c r="R99" s="1"/>
      <c r="S99" s="1"/>
      <c r="T99" s="1"/>
      <c r="U99" s="1"/>
      <c r="V99" s="1"/>
      <c r="W99" s="1"/>
      <c r="X99" s="1"/>
      <c r="Y99" s="1"/>
      <c r="Z99" s="1"/>
      <c r="AA99" s="1"/>
      <c r="AB99" s="1"/>
      <c r="AC99" s="1"/>
      <c r="AD99" s="1"/>
      <c r="AE99" s="1"/>
      <c r="AF9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99" s="1"/>
    </row>
    <row r="100" spans="1:33" ht="29" hidden="1" x14ac:dyDescent="0.35">
      <c r="A100" s="1" t="s">
        <v>230</v>
      </c>
      <c r="C100" t="s">
        <v>172</v>
      </c>
      <c r="E100" s="1" t="b">
        <v>1</v>
      </c>
      <c r="J100" s="1"/>
      <c r="K100" s="1"/>
      <c r="L100" s="1" t="b">
        <f>IF(OR(Table1[[#This Row],[Does not regard DAIC-WOZ]]=TRUE,Table1[[#This Row],[Does not use MAE]]=TRUE,Table1[[#This Row],[Does not introduce new model]]=TRUE,Table1[[#This Row],[Not in English]]=TRUE,Table1[[#This Row],[Not retrieved]]=TRUE),TRUE,FALSE)</f>
        <v>0</v>
      </c>
      <c r="M100" s="1"/>
      <c r="N100" s="1"/>
      <c r="O100" s="1"/>
      <c r="P100" s="1"/>
      <c r="Q100" s="1"/>
      <c r="R100" s="1"/>
      <c r="S100" s="1"/>
      <c r="T100" s="1"/>
      <c r="U100" s="1"/>
      <c r="V100" s="1"/>
      <c r="W100" s="1"/>
      <c r="X100" s="1"/>
      <c r="Y100" s="1"/>
      <c r="Z100" s="1"/>
      <c r="AA100" s="1"/>
      <c r="AB100" s="1"/>
      <c r="AC100" s="1"/>
      <c r="AD100" s="1"/>
      <c r="AE100" s="1"/>
      <c r="AF10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0" s="1"/>
    </row>
    <row r="101" spans="1:33" ht="43.5" hidden="1" x14ac:dyDescent="0.35">
      <c r="A101" s="1" t="s">
        <v>231</v>
      </c>
      <c r="C101" t="s">
        <v>172</v>
      </c>
      <c r="E101" s="1" t="b">
        <v>1</v>
      </c>
      <c r="J101" s="1"/>
      <c r="K101" s="1"/>
      <c r="L101" s="1" t="b">
        <f>IF(OR(Table1[[#This Row],[Does not regard DAIC-WOZ]]=TRUE,Table1[[#This Row],[Does not use MAE]]=TRUE,Table1[[#This Row],[Does not introduce new model]]=TRUE,Table1[[#This Row],[Not in English]]=TRUE,Table1[[#This Row],[Not retrieved]]=TRUE),TRUE,FALSE)</f>
        <v>0</v>
      </c>
      <c r="M101" s="1"/>
      <c r="N101" s="1"/>
      <c r="O101" s="1"/>
      <c r="P101" s="1"/>
      <c r="Q101" s="1"/>
      <c r="R101" s="1"/>
      <c r="S101" s="1"/>
      <c r="T101" s="1"/>
      <c r="U101" s="1"/>
      <c r="V101" s="1"/>
      <c r="W101" s="1"/>
      <c r="X101" s="1"/>
      <c r="Y101" s="1"/>
      <c r="Z101" s="1"/>
      <c r="AA101" s="1"/>
      <c r="AB101" s="1"/>
      <c r="AC101" s="1"/>
      <c r="AD101" s="1"/>
      <c r="AE101" s="1"/>
      <c r="AF10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1" s="1"/>
    </row>
    <row r="102" spans="1:33" ht="43.5" hidden="1" x14ac:dyDescent="0.35">
      <c r="A102" s="1" t="s">
        <v>232</v>
      </c>
      <c r="C102" t="s">
        <v>172</v>
      </c>
      <c r="E102" s="1" t="b">
        <v>1</v>
      </c>
      <c r="J102" s="1"/>
      <c r="K102" s="1"/>
      <c r="L102" s="1" t="b">
        <f>IF(OR(Table1[[#This Row],[Does not regard DAIC-WOZ]]=TRUE,Table1[[#This Row],[Does not use MAE]]=TRUE,Table1[[#This Row],[Does not introduce new model]]=TRUE,Table1[[#This Row],[Not in English]]=TRUE,Table1[[#This Row],[Not retrieved]]=TRUE),TRUE,FALSE)</f>
        <v>0</v>
      </c>
      <c r="M102" s="1"/>
      <c r="N102" s="1"/>
      <c r="O102" s="1"/>
      <c r="P102" s="1"/>
      <c r="Q102" s="1"/>
      <c r="R102" s="1"/>
      <c r="S102" s="1"/>
      <c r="T102" s="1"/>
      <c r="U102" s="1"/>
      <c r="V102" s="1"/>
      <c r="W102" s="1"/>
      <c r="X102" s="1"/>
      <c r="Y102" s="1"/>
      <c r="Z102" s="1"/>
      <c r="AA102" s="1"/>
      <c r="AB102" s="1"/>
      <c r="AC102" s="1"/>
      <c r="AD102" s="1"/>
      <c r="AE102" s="1"/>
      <c r="AF10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2" s="1"/>
    </row>
    <row r="103" spans="1:33" ht="29" hidden="1" x14ac:dyDescent="0.35">
      <c r="A103" s="1" t="s">
        <v>233</v>
      </c>
      <c r="C103" t="s">
        <v>172</v>
      </c>
      <c r="E103" s="1" t="b">
        <v>1</v>
      </c>
      <c r="J103" s="1"/>
      <c r="K103" s="1"/>
      <c r="L103" s="1" t="b">
        <f>IF(OR(Table1[[#This Row],[Does not regard DAIC-WOZ]]=TRUE,Table1[[#This Row],[Does not use MAE]]=TRUE,Table1[[#This Row],[Does not introduce new model]]=TRUE,Table1[[#This Row],[Not in English]]=TRUE,Table1[[#This Row],[Not retrieved]]=TRUE),TRUE,FALSE)</f>
        <v>0</v>
      </c>
      <c r="M103" s="1"/>
      <c r="N103" s="1"/>
      <c r="O103" s="1"/>
      <c r="P103" s="1"/>
      <c r="Q103" s="1"/>
      <c r="R103" s="1"/>
      <c r="S103" s="1"/>
      <c r="T103" s="1"/>
      <c r="U103" s="1"/>
      <c r="V103" s="1"/>
      <c r="W103" s="1"/>
      <c r="X103" s="1"/>
      <c r="Y103" s="1"/>
      <c r="Z103" s="1"/>
      <c r="AA103" s="1"/>
      <c r="AB103" s="1"/>
      <c r="AC103" s="1"/>
      <c r="AD103" s="1"/>
      <c r="AE103" s="1"/>
      <c r="AF10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3" s="1"/>
    </row>
    <row r="104" spans="1:33" ht="43.5" hidden="1" x14ac:dyDescent="0.35">
      <c r="A104" s="1" t="s">
        <v>234</v>
      </c>
      <c r="C104" t="s">
        <v>172</v>
      </c>
      <c r="E104" s="1" t="b">
        <v>1</v>
      </c>
      <c r="J104" s="1"/>
      <c r="K104" s="1"/>
      <c r="L104" s="1" t="b">
        <f>IF(OR(Table1[[#This Row],[Does not regard DAIC-WOZ]]=TRUE,Table1[[#This Row],[Does not use MAE]]=TRUE,Table1[[#This Row],[Does not introduce new model]]=TRUE,Table1[[#This Row],[Not in English]]=TRUE,Table1[[#This Row],[Not retrieved]]=TRUE),TRUE,FALSE)</f>
        <v>0</v>
      </c>
      <c r="M104" s="1"/>
      <c r="N104" s="1"/>
      <c r="O104" s="1"/>
      <c r="P104" s="1"/>
      <c r="Q104" s="1"/>
      <c r="R104" s="1"/>
      <c r="S104" s="1"/>
      <c r="T104" s="1"/>
      <c r="U104" s="1"/>
      <c r="V104" s="1"/>
      <c r="W104" s="1"/>
      <c r="X104" s="1"/>
      <c r="Y104" s="1"/>
      <c r="Z104" s="1"/>
      <c r="AA104" s="1"/>
      <c r="AB104" s="1"/>
      <c r="AC104" s="1"/>
      <c r="AD104" s="1"/>
      <c r="AE104" s="1"/>
      <c r="AF10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4" s="1"/>
    </row>
    <row r="105" spans="1:33" ht="29" hidden="1" x14ac:dyDescent="0.35">
      <c r="A105" s="1" t="s">
        <v>235</v>
      </c>
      <c r="C105" t="s">
        <v>172</v>
      </c>
      <c r="E105" s="1" t="b">
        <v>1</v>
      </c>
      <c r="J105" s="1"/>
      <c r="K105" s="1"/>
      <c r="L105" s="1" t="b">
        <f>IF(OR(Table1[[#This Row],[Does not regard DAIC-WOZ]]=TRUE,Table1[[#This Row],[Does not use MAE]]=TRUE,Table1[[#This Row],[Does not introduce new model]]=TRUE,Table1[[#This Row],[Not in English]]=TRUE,Table1[[#This Row],[Not retrieved]]=TRUE),TRUE,FALSE)</f>
        <v>0</v>
      </c>
      <c r="M105" s="1"/>
      <c r="N105" s="1"/>
      <c r="O105" s="1"/>
      <c r="P105" s="1"/>
      <c r="Q105" s="1"/>
      <c r="R105" s="1"/>
      <c r="S105" s="1"/>
      <c r="T105" s="1"/>
      <c r="U105" s="1"/>
      <c r="V105" s="1"/>
      <c r="W105" s="1"/>
      <c r="X105" s="1"/>
      <c r="Y105" s="1"/>
      <c r="Z105" s="1"/>
      <c r="AA105" s="1"/>
      <c r="AB105" s="1"/>
      <c r="AC105" s="1"/>
      <c r="AD105" s="1"/>
      <c r="AE105" s="1"/>
      <c r="AF10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5" s="1"/>
    </row>
    <row r="106" spans="1:33" ht="29" hidden="1" x14ac:dyDescent="0.35">
      <c r="A106" s="1" t="s">
        <v>236</v>
      </c>
      <c r="C106" t="s">
        <v>172</v>
      </c>
      <c r="E106" s="1" t="b">
        <v>1</v>
      </c>
      <c r="J106" s="1"/>
      <c r="K106" s="1"/>
      <c r="L106" s="1" t="b">
        <f>IF(OR(Table1[[#This Row],[Does not regard DAIC-WOZ]]=TRUE,Table1[[#This Row],[Does not use MAE]]=TRUE,Table1[[#This Row],[Does not introduce new model]]=TRUE,Table1[[#This Row],[Not in English]]=TRUE,Table1[[#This Row],[Not retrieved]]=TRUE),TRUE,FALSE)</f>
        <v>0</v>
      </c>
      <c r="M106" s="1"/>
      <c r="N106" s="1"/>
      <c r="O106" s="1"/>
      <c r="P106" s="1"/>
      <c r="Q106" s="1"/>
      <c r="R106" s="1"/>
      <c r="S106" s="1"/>
      <c r="T106" s="1"/>
      <c r="U106" s="1"/>
      <c r="V106" s="1"/>
      <c r="W106" s="1"/>
      <c r="X106" s="1"/>
      <c r="Y106" s="1"/>
      <c r="Z106" s="1"/>
      <c r="AA106" s="1"/>
      <c r="AB106" s="1"/>
      <c r="AC106" s="1"/>
      <c r="AD106" s="1"/>
      <c r="AE106" s="1"/>
      <c r="AF10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6" s="1"/>
    </row>
    <row r="107" spans="1:33" ht="29" hidden="1" x14ac:dyDescent="0.35">
      <c r="A107" s="1" t="s">
        <v>237</v>
      </c>
      <c r="C107" t="s">
        <v>172</v>
      </c>
      <c r="E107" s="1" t="b">
        <v>1</v>
      </c>
      <c r="J107" s="1"/>
      <c r="K107" s="1"/>
      <c r="L107" s="1" t="b">
        <f>IF(OR(Table1[[#This Row],[Does not regard DAIC-WOZ]]=TRUE,Table1[[#This Row],[Does not use MAE]]=TRUE,Table1[[#This Row],[Does not introduce new model]]=TRUE,Table1[[#This Row],[Not in English]]=TRUE,Table1[[#This Row],[Not retrieved]]=TRUE),TRUE,FALSE)</f>
        <v>0</v>
      </c>
      <c r="M107" s="1"/>
      <c r="N107" s="1"/>
      <c r="O107" s="1"/>
      <c r="P107" s="1"/>
      <c r="Q107" s="1"/>
      <c r="R107" s="1"/>
      <c r="S107" s="1"/>
      <c r="T107" s="1"/>
      <c r="U107" s="1"/>
      <c r="V107" s="1"/>
      <c r="W107" s="1"/>
      <c r="X107" s="1"/>
      <c r="Y107" s="1"/>
      <c r="Z107" s="1"/>
      <c r="AA107" s="1"/>
      <c r="AB107" s="1"/>
      <c r="AC107" s="1"/>
      <c r="AD107" s="1"/>
      <c r="AE107" s="1"/>
      <c r="AF10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7" s="1"/>
    </row>
    <row r="108" spans="1:33" ht="29" hidden="1" x14ac:dyDescent="0.35">
      <c r="A108" s="1" t="s">
        <v>238</v>
      </c>
      <c r="C108" t="s">
        <v>172</v>
      </c>
      <c r="E108" s="1" t="b">
        <v>1</v>
      </c>
      <c r="J108" s="1"/>
      <c r="K108" s="1"/>
      <c r="L108" s="1" t="b">
        <f>IF(OR(Table1[[#This Row],[Does not regard DAIC-WOZ]]=TRUE,Table1[[#This Row],[Does not use MAE]]=TRUE,Table1[[#This Row],[Does not introduce new model]]=TRUE,Table1[[#This Row],[Not in English]]=TRUE,Table1[[#This Row],[Not retrieved]]=TRUE),TRUE,FALSE)</f>
        <v>0</v>
      </c>
      <c r="M108" s="1"/>
      <c r="N108" s="1"/>
      <c r="O108" s="1"/>
      <c r="P108" s="1"/>
      <c r="Q108" s="1"/>
      <c r="R108" s="1"/>
      <c r="S108" s="1"/>
      <c r="T108" s="1"/>
      <c r="U108" s="1"/>
      <c r="V108" s="1"/>
      <c r="W108" s="1"/>
      <c r="X108" s="1"/>
      <c r="Y108" s="1"/>
      <c r="Z108" s="1"/>
      <c r="AA108" s="1"/>
      <c r="AB108" s="1"/>
      <c r="AC108" s="1"/>
      <c r="AD108" s="1"/>
      <c r="AE108" s="1"/>
      <c r="AF10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8" s="1"/>
    </row>
    <row r="109" spans="1:33" ht="29" hidden="1" x14ac:dyDescent="0.35">
      <c r="A109" s="1" t="s">
        <v>239</v>
      </c>
      <c r="C109" t="s">
        <v>172</v>
      </c>
      <c r="E109" s="1" t="b">
        <v>1</v>
      </c>
      <c r="J109" s="1"/>
      <c r="K109" s="1"/>
      <c r="L109" s="1" t="b">
        <f>IF(OR(Table1[[#This Row],[Does not regard DAIC-WOZ]]=TRUE,Table1[[#This Row],[Does not use MAE]]=TRUE,Table1[[#This Row],[Does not introduce new model]]=TRUE,Table1[[#This Row],[Not in English]]=TRUE,Table1[[#This Row],[Not retrieved]]=TRUE),TRUE,FALSE)</f>
        <v>0</v>
      </c>
      <c r="M109" s="1"/>
      <c r="N109" s="1"/>
      <c r="O109" s="1"/>
      <c r="P109" s="1"/>
      <c r="Q109" s="1"/>
      <c r="R109" s="1"/>
      <c r="S109" s="1"/>
      <c r="T109" s="1"/>
      <c r="U109" s="1"/>
      <c r="V109" s="1"/>
      <c r="W109" s="1"/>
      <c r="X109" s="1"/>
      <c r="Y109" s="1"/>
      <c r="Z109" s="1"/>
      <c r="AA109" s="1"/>
      <c r="AB109" s="1"/>
      <c r="AC109" s="1"/>
      <c r="AD109" s="1"/>
      <c r="AE109" s="1"/>
      <c r="AF10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09" s="1"/>
    </row>
    <row r="110" spans="1:33" ht="29" hidden="1" x14ac:dyDescent="0.35">
      <c r="A110" s="1" t="s">
        <v>240</v>
      </c>
      <c r="C110" t="s">
        <v>172</v>
      </c>
      <c r="E110" s="1" t="b">
        <v>1</v>
      </c>
      <c r="J110" s="1"/>
      <c r="K110" s="1"/>
      <c r="L110" s="1" t="b">
        <f>IF(OR(Table1[[#This Row],[Does not regard DAIC-WOZ]]=TRUE,Table1[[#This Row],[Does not use MAE]]=TRUE,Table1[[#This Row],[Does not introduce new model]]=TRUE,Table1[[#This Row],[Not in English]]=TRUE,Table1[[#This Row],[Not retrieved]]=TRUE),TRUE,FALSE)</f>
        <v>0</v>
      </c>
      <c r="M110" s="1"/>
      <c r="N110" s="1"/>
      <c r="O110" s="1"/>
      <c r="P110" s="1"/>
      <c r="Q110" s="1"/>
      <c r="R110" s="1"/>
      <c r="S110" s="1"/>
      <c r="T110" s="1"/>
      <c r="U110" s="1"/>
      <c r="V110" s="1"/>
      <c r="W110" s="1"/>
      <c r="X110" s="1"/>
      <c r="Y110" s="1"/>
      <c r="Z110" s="1"/>
      <c r="AA110" s="1"/>
      <c r="AB110" s="1"/>
      <c r="AC110" s="1"/>
      <c r="AD110" s="1"/>
      <c r="AE110" s="1"/>
      <c r="AF11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0" s="1"/>
    </row>
    <row r="111" spans="1:33" ht="29" hidden="1" x14ac:dyDescent="0.35">
      <c r="A111" s="1" t="s">
        <v>241</v>
      </c>
      <c r="B111" s="7" t="s">
        <v>242</v>
      </c>
      <c r="C111" t="s">
        <v>172</v>
      </c>
      <c r="E111" s="1" t="b">
        <v>1</v>
      </c>
      <c r="J111" s="1"/>
      <c r="K111" s="1"/>
      <c r="L111" s="1" t="b">
        <f>IF(OR(Table1[[#This Row],[Does not regard DAIC-WOZ]]=TRUE,Table1[[#This Row],[Does not use MAE]]=TRUE,Table1[[#This Row],[Does not introduce new model]]=TRUE,Table1[[#This Row],[Not in English]]=TRUE,Table1[[#This Row],[Not retrieved]]=TRUE),TRUE,FALSE)</f>
        <v>0</v>
      </c>
      <c r="M111" s="1"/>
      <c r="N111" s="1"/>
      <c r="O111" s="1"/>
      <c r="P111" s="1"/>
      <c r="Q111" s="1"/>
      <c r="R111" s="1"/>
      <c r="S111" s="1"/>
      <c r="T111" s="1"/>
      <c r="U111" s="1"/>
      <c r="V111" s="1"/>
      <c r="W111" s="1"/>
      <c r="X111" s="1"/>
      <c r="Y111" s="1"/>
      <c r="Z111" s="1"/>
      <c r="AA111" s="1"/>
      <c r="AB111" s="1"/>
      <c r="AC111" s="1"/>
      <c r="AD111" s="1"/>
      <c r="AE111" s="1"/>
      <c r="AF11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1" s="1"/>
    </row>
    <row r="112" spans="1:33" ht="29" hidden="1" x14ac:dyDescent="0.35">
      <c r="A112" s="1" t="s">
        <v>243</v>
      </c>
      <c r="B112" s="7" t="s">
        <v>244</v>
      </c>
      <c r="C112" t="s">
        <v>172</v>
      </c>
      <c r="E112" s="1" t="b">
        <v>1</v>
      </c>
      <c r="J112" s="1"/>
      <c r="K112" s="1"/>
      <c r="L112" s="1" t="b">
        <f>IF(OR(Table1[[#This Row],[Does not regard DAIC-WOZ]]=TRUE,Table1[[#This Row],[Does not use MAE]]=TRUE,Table1[[#This Row],[Does not introduce new model]]=TRUE,Table1[[#This Row],[Not in English]]=TRUE,Table1[[#This Row],[Not retrieved]]=TRUE),TRUE,FALSE)</f>
        <v>0</v>
      </c>
      <c r="M112" s="1"/>
      <c r="N112" s="1"/>
      <c r="O112" s="1"/>
      <c r="P112" s="1"/>
      <c r="Q112" s="1"/>
      <c r="R112" s="1"/>
      <c r="S112" s="1"/>
      <c r="T112" s="1"/>
      <c r="U112" s="1"/>
      <c r="V112" s="1"/>
      <c r="W112" s="1"/>
      <c r="X112" s="1"/>
      <c r="Y112" s="1"/>
      <c r="Z112" s="1"/>
      <c r="AA112" s="1"/>
      <c r="AB112" s="1"/>
      <c r="AC112" s="1"/>
      <c r="AD112" s="1"/>
      <c r="AE112" s="1"/>
      <c r="AF11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2" s="1"/>
    </row>
    <row r="113" spans="1:33" ht="58" hidden="1" x14ac:dyDescent="0.35">
      <c r="A113" s="1" t="s">
        <v>245</v>
      </c>
      <c r="C113" t="s">
        <v>172</v>
      </c>
      <c r="E113" s="1" t="b">
        <v>1</v>
      </c>
      <c r="J113" s="1"/>
      <c r="K113" s="1"/>
      <c r="L113" s="1" t="b">
        <f>IF(OR(Table1[[#This Row],[Does not regard DAIC-WOZ]]=TRUE,Table1[[#This Row],[Does not use MAE]]=TRUE,Table1[[#This Row],[Does not introduce new model]]=TRUE,Table1[[#This Row],[Not in English]]=TRUE,Table1[[#This Row],[Not retrieved]]=TRUE),TRUE,FALSE)</f>
        <v>0</v>
      </c>
      <c r="M113" s="1"/>
      <c r="N113" s="1"/>
      <c r="O113" s="1"/>
      <c r="P113" s="1"/>
      <c r="Q113" s="1"/>
      <c r="R113" s="1"/>
      <c r="S113" s="1"/>
      <c r="T113" s="1"/>
      <c r="U113" s="1"/>
      <c r="V113" s="1"/>
      <c r="W113" s="1"/>
      <c r="X113" s="1"/>
      <c r="Y113" s="1"/>
      <c r="Z113" s="1"/>
      <c r="AA113" s="1"/>
      <c r="AB113" s="1"/>
      <c r="AC113" s="1"/>
      <c r="AD113" s="1"/>
      <c r="AE113" s="1"/>
      <c r="AF11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3" s="1"/>
    </row>
    <row r="114" spans="1:33" ht="43.5" hidden="1" x14ac:dyDescent="0.35">
      <c r="A114" s="1" t="s">
        <v>246</v>
      </c>
      <c r="C114" t="s">
        <v>172</v>
      </c>
      <c r="E114" s="1" t="b">
        <v>1</v>
      </c>
      <c r="J114" s="1"/>
      <c r="K114" s="1"/>
      <c r="L114" s="1" t="b">
        <f>IF(OR(Table1[[#This Row],[Does not regard DAIC-WOZ]]=TRUE,Table1[[#This Row],[Does not use MAE]]=TRUE,Table1[[#This Row],[Does not introduce new model]]=TRUE,Table1[[#This Row],[Not in English]]=TRUE,Table1[[#This Row],[Not retrieved]]=TRUE),TRUE,FALSE)</f>
        <v>0</v>
      </c>
      <c r="M114" s="1"/>
      <c r="N114" s="1"/>
      <c r="O114" s="1"/>
      <c r="P114" s="1"/>
      <c r="Q114" s="1"/>
      <c r="R114" s="1"/>
      <c r="S114" s="1"/>
      <c r="T114" s="1"/>
      <c r="U114" s="1"/>
      <c r="V114" s="1"/>
      <c r="W114" s="1"/>
      <c r="X114" s="1"/>
      <c r="Y114" s="1"/>
      <c r="Z114" s="1"/>
      <c r="AA114" s="1"/>
      <c r="AB114" s="1"/>
      <c r="AC114" s="1"/>
      <c r="AD114" s="1"/>
      <c r="AE114" s="1"/>
      <c r="AF11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4" s="1"/>
    </row>
    <row r="115" spans="1:33" ht="43.5" hidden="1" x14ac:dyDescent="0.35">
      <c r="A115" s="1" t="s">
        <v>247</v>
      </c>
      <c r="C115" t="s">
        <v>172</v>
      </c>
      <c r="E115" s="1" t="b">
        <v>1</v>
      </c>
      <c r="J115" s="1"/>
      <c r="K115" s="1"/>
      <c r="L115" s="1" t="b">
        <f>IF(OR(Table1[[#This Row],[Does not regard DAIC-WOZ]]=TRUE,Table1[[#This Row],[Does not use MAE]]=TRUE,Table1[[#This Row],[Does not introduce new model]]=TRUE,Table1[[#This Row],[Not in English]]=TRUE,Table1[[#This Row],[Not retrieved]]=TRUE),TRUE,FALSE)</f>
        <v>0</v>
      </c>
      <c r="M115" s="1"/>
      <c r="N115" s="1"/>
      <c r="O115" s="1"/>
      <c r="P115" s="1"/>
      <c r="Q115" s="1"/>
      <c r="R115" s="1"/>
      <c r="S115" s="1"/>
      <c r="T115" s="1"/>
      <c r="U115" s="1"/>
      <c r="V115" s="1"/>
      <c r="W115" s="1"/>
      <c r="X115" s="1"/>
      <c r="Y115" s="1"/>
      <c r="Z115" s="1"/>
      <c r="AA115" s="1"/>
      <c r="AB115" s="1"/>
      <c r="AC115" s="1"/>
      <c r="AD115" s="1"/>
      <c r="AE115" s="1"/>
      <c r="AF11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5" s="1"/>
    </row>
    <row r="116" spans="1:33" ht="29" hidden="1" x14ac:dyDescent="0.35">
      <c r="A116" s="1" t="s">
        <v>248</v>
      </c>
      <c r="B116" s="7" t="s">
        <v>249</v>
      </c>
      <c r="C116" t="s">
        <v>172</v>
      </c>
      <c r="E116" s="1" t="b">
        <v>1</v>
      </c>
      <c r="J116" s="1"/>
      <c r="K116" s="1"/>
      <c r="L116" s="1" t="b">
        <f>IF(OR(Table1[[#This Row],[Does not regard DAIC-WOZ]]=TRUE,Table1[[#This Row],[Does not use MAE]]=TRUE,Table1[[#This Row],[Does not introduce new model]]=TRUE,Table1[[#This Row],[Not in English]]=TRUE,Table1[[#This Row],[Not retrieved]]=TRUE),TRUE,FALSE)</f>
        <v>0</v>
      </c>
      <c r="M116" s="1"/>
      <c r="N116" s="1"/>
      <c r="O116" s="1"/>
      <c r="P116" s="1"/>
      <c r="Q116" s="1"/>
      <c r="R116" s="1"/>
      <c r="S116" s="1"/>
      <c r="T116" s="1"/>
      <c r="U116" s="1"/>
      <c r="V116" s="1"/>
      <c r="W116" s="1"/>
      <c r="X116" s="1"/>
      <c r="Y116" s="1"/>
      <c r="Z116" s="1"/>
      <c r="AA116" s="1"/>
      <c r="AB116" s="1"/>
      <c r="AC116" s="1"/>
      <c r="AD116" s="1"/>
      <c r="AE116" s="1"/>
      <c r="AF11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6" s="1"/>
    </row>
    <row r="117" spans="1:33" ht="43.5" hidden="1" x14ac:dyDescent="0.35">
      <c r="A117" s="1" t="s">
        <v>250</v>
      </c>
      <c r="B117" s="7" t="s">
        <v>251</v>
      </c>
      <c r="C117" t="s">
        <v>172</v>
      </c>
      <c r="E117" s="1" t="b">
        <v>1</v>
      </c>
      <c r="J117" s="1"/>
      <c r="K117" s="1"/>
      <c r="L117" s="1" t="b">
        <f>IF(OR(Table1[[#This Row],[Does not regard DAIC-WOZ]]=TRUE,Table1[[#This Row],[Does not use MAE]]=TRUE,Table1[[#This Row],[Does not introduce new model]]=TRUE,Table1[[#This Row],[Not in English]]=TRUE,Table1[[#This Row],[Not retrieved]]=TRUE),TRUE,FALSE)</f>
        <v>0</v>
      </c>
      <c r="M117" s="1"/>
      <c r="N117" s="1"/>
      <c r="O117" s="1"/>
      <c r="P117" s="1"/>
      <c r="Q117" s="1"/>
      <c r="R117" s="1"/>
      <c r="S117" s="1"/>
      <c r="T117" s="1"/>
      <c r="U117" s="1"/>
      <c r="V117" s="1"/>
      <c r="W117" s="1"/>
      <c r="X117" s="1"/>
      <c r="Y117" s="1"/>
      <c r="Z117" s="1"/>
      <c r="AA117" s="1"/>
      <c r="AB117" s="1"/>
      <c r="AC117" s="1"/>
      <c r="AD117" s="1"/>
      <c r="AE117" s="1"/>
      <c r="AF11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7" s="1"/>
    </row>
    <row r="118" spans="1:33" ht="29" hidden="1" x14ac:dyDescent="0.35">
      <c r="A118" s="1" t="s">
        <v>252</v>
      </c>
      <c r="C118" t="s">
        <v>172</v>
      </c>
      <c r="E118" s="1" t="b">
        <v>1</v>
      </c>
      <c r="J118" s="1"/>
      <c r="K118" s="1"/>
      <c r="L118" s="1" t="b">
        <f>IF(OR(Table1[[#This Row],[Does not regard DAIC-WOZ]]=TRUE,Table1[[#This Row],[Does not use MAE]]=TRUE,Table1[[#This Row],[Does not introduce new model]]=TRUE,Table1[[#This Row],[Not in English]]=TRUE,Table1[[#This Row],[Not retrieved]]=TRUE),TRUE,FALSE)</f>
        <v>0</v>
      </c>
      <c r="M118" s="1"/>
      <c r="N118" s="1"/>
      <c r="O118" s="1"/>
      <c r="P118" s="1"/>
      <c r="Q118" s="1"/>
      <c r="R118" s="1"/>
      <c r="S118" s="1"/>
      <c r="T118" s="1"/>
      <c r="U118" s="1"/>
      <c r="V118" s="1"/>
      <c r="W118" s="1"/>
      <c r="X118" s="1"/>
      <c r="Y118" s="1"/>
      <c r="Z118" s="1"/>
      <c r="AA118" s="1"/>
      <c r="AB118" s="1"/>
      <c r="AC118" s="1"/>
      <c r="AD118" s="1"/>
      <c r="AE118" s="1"/>
      <c r="AF11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8" s="1"/>
    </row>
    <row r="119" spans="1:33" ht="43.5" hidden="1" x14ac:dyDescent="0.35">
      <c r="A119" s="1" t="s">
        <v>253</v>
      </c>
      <c r="C119" t="s">
        <v>172</v>
      </c>
      <c r="E119" s="1" t="b">
        <v>1</v>
      </c>
      <c r="J119" s="1"/>
      <c r="K119" s="1"/>
      <c r="L119" s="1" t="b">
        <f>IF(OR(Table1[[#This Row],[Does not regard DAIC-WOZ]]=TRUE,Table1[[#This Row],[Does not use MAE]]=TRUE,Table1[[#This Row],[Does not introduce new model]]=TRUE,Table1[[#This Row],[Not in English]]=TRUE,Table1[[#This Row],[Not retrieved]]=TRUE),TRUE,FALSE)</f>
        <v>0</v>
      </c>
      <c r="M119" s="1"/>
      <c r="N119" s="1"/>
      <c r="O119" s="1"/>
      <c r="P119" s="1"/>
      <c r="Q119" s="1"/>
      <c r="R119" s="1"/>
      <c r="S119" s="1"/>
      <c r="T119" s="1"/>
      <c r="U119" s="1"/>
      <c r="V119" s="1"/>
      <c r="W119" s="1"/>
      <c r="X119" s="1"/>
      <c r="Y119" s="1"/>
      <c r="Z119" s="1"/>
      <c r="AA119" s="1"/>
      <c r="AB119" s="1"/>
      <c r="AC119" s="1"/>
      <c r="AD119" s="1"/>
      <c r="AE119" s="1"/>
      <c r="AF11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19" s="1"/>
    </row>
    <row r="120" spans="1:33" hidden="1" x14ac:dyDescent="0.35">
      <c r="A120" s="1" t="s">
        <v>254</v>
      </c>
      <c r="B120" s="7" t="s">
        <v>255</v>
      </c>
      <c r="C120" t="s">
        <v>6</v>
      </c>
      <c r="E120" s="1" t="b">
        <v>1</v>
      </c>
      <c r="J120" s="1"/>
      <c r="K120" s="1"/>
      <c r="L120" s="1" t="b">
        <f>IF(OR(Table1[[#This Row],[Does not regard DAIC-WOZ]]=TRUE,Table1[[#This Row],[Does not use MAE]]=TRUE,Table1[[#This Row],[Does not introduce new model]]=TRUE,Table1[[#This Row],[Not in English]]=TRUE,Table1[[#This Row],[Not retrieved]]=TRUE),TRUE,FALSE)</f>
        <v>0</v>
      </c>
      <c r="M120" s="1"/>
      <c r="N120" s="1"/>
      <c r="O120" s="1"/>
      <c r="P120" s="1"/>
      <c r="Q120" s="1"/>
      <c r="R120" s="1"/>
      <c r="S120" s="1"/>
      <c r="T120" s="1"/>
      <c r="U120" s="1"/>
      <c r="V120" s="1"/>
      <c r="W120" s="1"/>
      <c r="X120" s="1"/>
      <c r="Y120" s="1"/>
      <c r="Z120" s="1"/>
      <c r="AA120" s="1"/>
      <c r="AB120" s="1"/>
      <c r="AC120" s="1"/>
      <c r="AD120" s="1"/>
      <c r="AE120" s="1"/>
      <c r="AF12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0" s="1"/>
    </row>
    <row r="121" spans="1:33" hidden="1" x14ac:dyDescent="0.35">
      <c r="A121" s="1" t="s">
        <v>256</v>
      </c>
      <c r="B121" s="7" t="s">
        <v>257</v>
      </c>
      <c r="C121" t="s">
        <v>6</v>
      </c>
      <c r="E121" s="1" t="b">
        <v>1</v>
      </c>
      <c r="J121" s="1"/>
      <c r="K121" s="1"/>
      <c r="L121" s="1" t="b">
        <f>IF(OR(Table1[[#This Row],[Does not regard DAIC-WOZ]]=TRUE,Table1[[#This Row],[Does not use MAE]]=TRUE,Table1[[#This Row],[Does not introduce new model]]=TRUE,Table1[[#This Row],[Not in English]]=TRUE,Table1[[#This Row],[Not retrieved]]=TRUE),TRUE,FALSE)</f>
        <v>0</v>
      </c>
      <c r="M121" s="1"/>
      <c r="N121" s="1"/>
      <c r="O121" s="1"/>
      <c r="P121" s="1"/>
      <c r="Q121" s="1"/>
      <c r="R121" s="1"/>
      <c r="S121" s="1"/>
      <c r="T121" s="1"/>
      <c r="U121" s="1"/>
      <c r="V121" s="1"/>
      <c r="W121" s="1"/>
      <c r="X121" s="1"/>
      <c r="Y121" s="1"/>
      <c r="Z121" s="1"/>
      <c r="AA121" s="1"/>
      <c r="AB121" s="1"/>
      <c r="AC121" s="1"/>
      <c r="AD121" s="1"/>
      <c r="AE121" s="1"/>
      <c r="AF12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1" s="1"/>
    </row>
    <row r="122" spans="1:33" ht="29" hidden="1" x14ac:dyDescent="0.35">
      <c r="A122" s="1" t="s">
        <v>258</v>
      </c>
      <c r="B122" s="7" t="s">
        <v>259</v>
      </c>
      <c r="C122" t="s">
        <v>6</v>
      </c>
      <c r="E122" s="1" t="b">
        <v>1</v>
      </c>
      <c r="J122" s="1"/>
      <c r="K122" s="1"/>
      <c r="L122" s="1" t="b">
        <f>IF(OR(Table1[[#This Row],[Does not regard DAIC-WOZ]]=TRUE,Table1[[#This Row],[Does not use MAE]]=TRUE,Table1[[#This Row],[Does not introduce new model]]=TRUE,Table1[[#This Row],[Not in English]]=TRUE,Table1[[#This Row],[Not retrieved]]=TRUE),TRUE,FALSE)</f>
        <v>0</v>
      </c>
      <c r="M122" s="1"/>
      <c r="N122" s="1"/>
      <c r="O122" s="1"/>
      <c r="P122" s="1"/>
      <c r="Q122" s="1"/>
      <c r="R122" s="1"/>
      <c r="S122" s="1"/>
      <c r="T122" s="1"/>
      <c r="U122" s="1"/>
      <c r="V122" s="1"/>
      <c r="W122" s="1"/>
      <c r="X122" s="1"/>
      <c r="Y122" s="1"/>
      <c r="Z122" s="1"/>
      <c r="AA122" s="1"/>
      <c r="AB122" s="1"/>
      <c r="AC122" s="1"/>
      <c r="AD122" s="1"/>
      <c r="AE122" s="1"/>
      <c r="AF12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2" s="1"/>
    </row>
    <row r="123" spans="1:33" hidden="1" x14ac:dyDescent="0.35">
      <c r="A123" s="1" t="s">
        <v>260</v>
      </c>
      <c r="B123" s="7" t="s">
        <v>261</v>
      </c>
      <c r="C123" t="s">
        <v>6</v>
      </c>
      <c r="E123" s="1" t="b">
        <v>1</v>
      </c>
      <c r="J123" s="1"/>
      <c r="K123" s="1"/>
      <c r="L123" s="1" t="b">
        <f>IF(OR(Table1[[#This Row],[Does not regard DAIC-WOZ]]=TRUE,Table1[[#This Row],[Does not use MAE]]=TRUE,Table1[[#This Row],[Does not introduce new model]]=TRUE,Table1[[#This Row],[Not in English]]=TRUE,Table1[[#This Row],[Not retrieved]]=TRUE),TRUE,FALSE)</f>
        <v>0</v>
      </c>
      <c r="M123" s="1"/>
      <c r="N123" s="1"/>
      <c r="O123" s="1"/>
      <c r="P123" s="1"/>
      <c r="Q123" s="1"/>
      <c r="R123" s="1"/>
      <c r="S123" s="1"/>
      <c r="T123" s="1"/>
      <c r="U123" s="1"/>
      <c r="V123" s="1"/>
      <c r="W123" s="1"/>
      <c r="X123" s="1"/>
      <c r="Y123" s="1"/>
      <c r="Z123" s="1"/>
      <c r="AA123" s="1"/>
      <c r="AB123" s="1"/>
      <c r="AC123" s="1"/>
      <c r="AD123" s="1"/>
      <c r="AE123" s="1"/>
      <c r="AF12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3" s="1"/>
    </row>
    <row r="124" spans="1:33" ht="43.5" hidden="1" x14ac:dyDescent="0.35">
      <c r="A124" s="1" t="s">
        <v>262</v>
      </c>
      <c r="B124" s="7" t="s">
        <v>263</v>
      </c>
      <c r="C124" t="s">
        <v>6</v>
      </c>
      <c r="E124" s="1" t="b">
        <v>1</v>
      </c>
      <c r="J124" s="1"/>
      <c r="K124" s="1"/>
      <c r="L124" s="1" t="b">
        <f>IF(OR(Table1[[#This Row],[Does not regard DAIC-WOZ]]=TRUE,Table1[[#This Row],[Does not use MAE]]=TRUE,Table1[[#This Row],[Does not introduce new model]]=TRUE,Table1[[#This Row],[Not in English]]=TRUE,Table1[[#This Row],[Not retrieved]]=TRUE),TRUE,FALSE)</f>
        <v>0</v>
      </c>
      <c r="M124" s="1"/>
      <c r="N124" s="1"/>
      <c r="O124" s="1"/>
      <c r="P124" s="1"/>
      <c r="Q124" s="1"/>
      <c r="R124" s="1"/>
      <c r="S124" s="1"/>
      <c r="T124" s="1"/>
      <c r="U124" s="1"/>
      <c r="V124" s="1"/>
      <c r="W124" s="1"/>
      <c r="X124" s="1"/>
      <c r="Y124" s="1"/>
      <c r="Z124" s="1"/>
      <c r="AA124" s="1"/>
      <c r="AB124" s="1"/>
      <c r="AC124" s="1"/>
      <c r="AD124" s="1"/>
      <c r="AE124" s="1"/>
      <c r="AF12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4" s="1"/>
    </row>
    <row r="125" spans="1:33" hidden="1" x14ac:dyDescent="0.35">
      <c r="A125" s="1" t="s">
        <v>264</v>
      </c>
      <c r="B125" s="7" t="s">
        <v>265</v>
      </c>
      <c r="C125" t="s">
        <v>6</v>
      </c>
      <c r="E125" s="1" t="b">
        <v>1</v>
      </c>
      <c r="J125" s="1"/>
      <c r="K125" s="1"/>
      <c r="L125" s="1" t="b">
        <f>IF(OR(Table1[[#This Row],[Does not regard DAIC-WOZ]]=TRUE,Table1[[#This Row],[Does not use MAE]]=TRUE,Table1[[#This Row],[Does not introduce new model]]=TRUE,Table1[[#This Row],[Not in English]]=TRUE,Table1[[#This Row],[Not retrieved]]=TRUE),TRUE,FALSE)</f>
        <v>0</v>
      </c>
      <c r="M125" s="1"/>
      <c r="N125" s="1"/>
      <c r="O125" s="1"/>
      <c r="P125" s="1"/>
      <c r="Q125" s="1"/>
      <c r="R125" s="1"/>
      <c r="S125" s="1"/>
      <c r="T125" s="1"/>
      <c r="U125" s="1"/>
      <c r="V125" s="1"/>
      <c r="W125" s="1"/>
      <c r="X125" s="1"/>
      <c r="Y125" s="1"/>
      <c r="Z125" s="1"/>
      <c r="AA125" s="1"/>
      <c r="AB125" s="1"/>
      <c r="AC125" s="1"/>
      <c r="AD125" s="1"/>
      <c r="AE125" s="1"/>
      <c r="AF12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5" s="1"/>
    </row>
    <row r="126" spans="1:33" ht="43.5" hidden="1" x14ac:dyDescent="0.35">
      <c r="A126" s="1" t="s">
        <v>266</v>
      </c>
      <c r="B126" s="7" t="s">
        <v>267</v>
      </c>
      <c r="C126" t="s">
        <v>268</v>
      </c>
      <c r="E126" s="1" t="b">
        <v>1</v>
      </c>
      <c r="J126" s="1"/>
      <c r="K126" s="1"/>
      <c r="L126" s="1" t="b">
        <f>IF(OR(Table1[[#This Row],[Does not regard DAIC-WOZ]]=TRUE,Table1[[#This Row],[Does not use MAE]]=TRUE,Table1[[#This Row],[Does not introduce new model]]=TRUE,Table1[[#This Row],[Not in English]]=TRUE,Table1[[#This Row],[Not retrieved]]=TRUE),TRUE,FALSE)</f>
        <v>0</v>
      </c>
      <c r="M126" s="1"/>
      <c r="N126" s="1"/>
      <c r="O126" s="1"/>
      <c r="P126" s="1"/>
      <c r="Q126" s="1"/>
      <c r="R126" s="1"/>
      <c r="S126" s="1"/>
      <c r="T126" s="1"/>
      <c r="U126" s="1"/>
      <c r="V126" s="1"/>
      <c r="W126" s="1"/>
      <c r="X126" s="1"/>
      <c r="Y126" s="1"/>
      <c r="Z126" s="1"/>
      <c r="AA126" s="1"/>
      <c r="AB126" s="1"/>
      <c r="AC126" s="1"/>
      <c r="AD126" s="1"/>
      <c r="AE126" s="1"/>
      <c r="AF12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6" s="1"/>
    </row>
    <row r="127" spans="1:33" ht="29" hidden="1" x14ac:dyDescent="0.35">
      <c r="A127" s="1" t="s">
        <v>269</v>
      </c>
      <c r="B127" s="7" t="s">
        <v>270</v>
      </c>
      <c r="C127" t="s">
        <v>268</v>
      </c>
      <c r="E127" s="1" t="b">
        <v>0</v>
      </c>
      <c r="J127" s="1"/>
      <c r="K127" s="1"/>
      <c r="L127" s="1" t="b">
        <f>IF(OR(Table1[[#This Row],[Does not regard DAIC-WOZ]]=TRUE,Table1[[#This Row],[Does not use MAE]]=TRUE,Table1[[#This Row],[Does not introduce new model]]=TRUE,Table1[[#This Row],[Not in English]]=TRUE,Table1[[#This Row],[Not retrieved]]=TRUE),TRUE,FALSE)</f>
        <v>0</v>
      </c>
      <c r="M127" s="1" t="s">
        <v>753</v>
      </c>
      <c r="N127" s="1" t="s">
        <v>779</v>
      </c>
      <c r="O127" s="1" t="s">
        <v>788</v>
      </c>
      <c r="P127" s="1" t="s">
        <v>926</v>
      </c>
      <c r="Q127" s="1" t="s">
        <v>753</v>
      </c>
      <c r="R127" s="1" t="s">
        <v>753</v>
      </c>
      <c r="S127" s="1"/>
      <c r="T127" s="1" t="s">
        <v>770</v>
      </c>
      <c r="U127" s="1" t="s">
        <v>753</v>
      </c>
      <c r="V127" s="1" t="s">
        <v>753</v>
      </c>
      <c r="W127" s="1" t="s">
        <v>753</v>
      </c>
      <c r="X127" s="1" t="s">
        <v>753</v>
      </c>
      <c r="Y127" s="1" t="s">
        <v>753</v>
      </c>
      <c r="Z127" s="1" t="s">
        <v>753</v>
      </c>
      <c r="AA127" s="1" t="s">
        <v>773</v>
      </c>
      <c r="AB127" s="1" t="s">
        <v>778</v>
      </c>
      <c r="AC127" s="1" t="s">
        <v>778</v>
      </c>
      <c r="AD127" s="1" t="s">
        <v>773</v>
      </c>
      <c r="AE127" s="1"/>
      <c r="AF127"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27" t="s">
        <v>927</v>
      </c>
    </row>
    <row r="128" spans="1:33" ht="29" hidden="1" x14ac:dyDescent="0.35">
      <c r="A128" s="1" t="s">
        <v>271</v>
      </c>
      <c r="B128" s="7" t="s">
        <v>272</v>
      </c>
      <c r="C128" t="s">
        <v>268</v>
      </c>
      <c r="E128" s="1" t="b">
        <v>1</v>
      </c>
      <c r="J128" s="1"/>
      <c r="K128" s="1"/>
      <c r="L128" s="1" t="b">
        <f>IF(OR(Table1[[#This Row],[Does not regard DAIC-WOZ]]=TRUE,Table1[[#This Row],[Does not use MAE]]=TRUE,Table1[[#This Row],[Does not introduce new model]]=TRUE,Table1[[#This Row],[Not in English]]=TRUE,Table1[[#This Row],[Not retrieved]]=TRUE),TRUE,FALSE)</f>
        <v>0</v>
      </c>
      <c r="M128" s="1"/>
      <c r="N128" s="1"/>
      <c r="O128" s="1"/>
      <c r="P128" s="1"/>
      <c r="Q128" s="1"/>
      <c r="R128" s="1"/>
      <c r="S128" s="1"/>
      <c r="T128" s="1"/>
      <c r="U128" s="1"/>
      <c r="V128" s="1"/>
      <c r="W128" s="1"/>
      <c r="X128" s="1"/>
      <c r="Y128" s="1"/>
      <c r="Z128" s="1"/>
      <c r="AA128" s="1"/>
      <c r="AB128" s="1"/>
      <c r="AC128" s="1"/>
      <c r="AD128" s="1"/>
      <c r="AE128" s="1"/>
      <c r="AF12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8" s="1"/>
    </row>
    <row r="129" spans="1:33" ht="29" hidden="1" x14ac:dyDescent="0.35">
      <c r="A129" s="1" t="s">
        <v>273</v>
      </c>
      <c r="B129" s="7" t="s">
        <v>274</v>
      </c>
      <c r="C129" t="s">
        <v>268</v>
      </c>
      <c r="E129" s="1" t="b">
        <v>1</v>
      </c>
      <c r="J129" s="1"/>
      <c r="K129" s="1"/>
      <c r="L129" s="1" t="b">
        <f>IF(OR(Table1[[#This Row],[Does not regard DAIC-WOZ]]=TRUE,Table1[[#This Row],[Does not use MAE]]=TRUE,Table1[[#This Row],[Does not introduce new model]]=TRUE,Table1[[#This Row],[Not in English]]=TRUE,Table1[[#This Row],[Not retrieved]]=TRUE),TRUE,FALSE)</f>
        <v>0</v>
      </c>
      <c r="M129" s="1"/>
      <c r="N129" s="1"/>
      <c r="O129" s="1"/>
      <c r="P129" s="1"/>
      <c r="Q129" s="1"/>
      <c r="R129" s="1"/>
      <c r="S129" s="1"/>
      <c r="T129" s="1"/>
      <c r="U129" s="1"/>
      <c r="V129" s="1"/>
      <c r="W129" s="1"/>
      <c r="X129" s="1"/>
      <c r="Y129" s="1"/>
      <c r="Z129" s="1"/>
      <c r="AA129" s="1"/>
      <c r="AB129" s="1"/>
      <c r="AC129" s="1"/>
      <c r="AD129" s="1"/>
      <c r="AE129" s="1"/>
      <c r="AF12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29" s="1"/>
    </row>
    <row r="130" spans="1:33" ht="43.5" hidden="1" x14ac:dyDescent="0.35">
      <c r="A130" s="1" t="s">
        <v>275</v>
      </c>
      <c r="B130" s="7" t="s">
        <v>276</v>
      </c>
      <c r="C130" t="s">
        <v>268</v>
      </c>
      <c r="E130" s="1" t="b">
        <v>1</v>
      </c>
      <c r="J130" s="1"/>
      <c r="K130" s="1"/>
      <c r="L130" s="1" t="b">
        <f>IF(OR(Table1[[#This Row],[Does not regard DAIC-WOZ]]=TRUE,Table1[[#This Row],[Does not use MAE]]=TRUE,Table1[[#This Row],[Does not introduce new model]]=TRUE,Table1[[#This Row],[Not in English]]=TRUE,Table1[[#This Row],[Not retrieved]]=TRUE),TRUE,FALSE)</f>
        <v>0</v>
      </c>
      <c r="M130" s="1"/>
      <c r="N130" s="1"/>
      <c r="O130" s="1"/>
      <c r="P130" s="1"/>
      <c r="Q130" s="1"/>
      <c r="R130" s="1"/>
      <c r="S130" s="1"/>
      <c r="T130" s="1"/>
      <c r="U130" s="1"/>
      <c r="V130" s="1"/>
      <c r="W130" s="1"/>
      <c r="X130" s="1"/>
      <c r="Y130" s="1"/>
      <c r="Z130" s="1"/>
      <c r="AA130" s="1"/>
      <c r="AB130" s="1"/>
      <c r="AC130" s="1"/>
      <c r="AD130" s="1"/>
      <c r="AE130" s="1"/>
      <c r="AF13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30" s="1"/>
    </row>
    <row r="131" spans="1:33" ht="43.5" hidden="1" x14ac:dyDescent="0.35">
      <c r="A131" s="1" t="s">
        <v>277</v>
      </c>
      <c r="B131" s="7" t="s">
        <v>278</v>
      </c>
      <c r="C131" t="s">
        <v>268</v>
      </c>
      <c r="E131" s="1" t="b">
        <v>0</v>
      </c>
      <c r="J131" s="1"/>
      <c r="K131" s="1"/>
      <c r="L131" s="1" t="b">
        <f>IF(OR(Table1[[#This Row],[Does not regard DAIC-WOZ]]=TRUE,Table1[[#This Row],[Does not use MAE]]=TRUE,Table1[[#This Row],[Does not introduce new model]]=TRUE,Table1[[#This Row],[Not in English]]=TRUE,Table1[[#This Row],[Not retrieved]]=TRUE),TRUE,FALSE)</f>
        <v>0</v>
      </c>
      <c r="M131" s="1" t="s">
        <v>753</v>
      </c>
      <c r="N131" s="1" t="s">
        <v>779</v>
      </c>
      <c r="O131" s="1" t="s">
        <v>753</v>
      </c>
      <c r="P131" s="1" t="s">
        <v>857</v>
      </c>
      <c r="Q131" s="1" t="s">
        <v>777</v>
      </c>
      <c r="R131" s="1" t="s">
        <v>787</v>
      </c>
      <c r="S131" s="1"/>
      <c r="T131" s="1" t="s">
        <v>769</v>
      </c>
      <c r="U131" s="1">
        <v>4.66</v>
      </c>
      <c r="V131" s="1">
        <v>5.77</v>
      </c>
      <c r="W131" s="1" t="s">
        <v>753</v>
      </c>
      <c r="X131" s="1" t="s">
        <v>753</v>
      </c>
      <c r="Y131" s="1" t="s">
        <v>753</v>
      </c>
      <c r="Z131" s="1" t="s">
        <v>753</v>
      </c>
      <c r="AA131" s="1" t="s">
        <v>778</v>
      </c>
      <c r="AB131" s="1" t="s">
        <v>773</v>
      </c>
      <c r="AC131" s="1" t="s">
        <v>753</v>
      </c>
      <c r="AD131" s="1" t="s">
        <v>753</v>
      </c>
      <c r="AE131" s="1"/>
      <c r="AF131"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31" t="s">
        <v>858</v>
      </c>
    </row>
    <row r="132" spans="1:33" ht="58" hidden="1" x14ac:dyDescent="0.35">
      <c r="A132" s="1" t="s">
        <v>279</v>
      </c>
      <c r="B132" s="7" t="s">
        <v>280</v>
      </c>
      <c r="C132" t="s">
        <v>268</v>
      </c>
      <c r="E132" s="1" t="b">
        <v>0</v>
      </c>
      <c r="J132" s="1" t="b">
        <v>1</v>
      </c>
      <c r="K132" s="1"/>
      <c r="L132" s="1" t="b">
        <f>IF(OR(Table1[[#This Row],[Does not regard DAIC-WOZ]]=TRUE,Table1[[#This Row],[Does not use MAE]]=TRUE,Table1[[#This Row],[Does not introduce new model]]=TRUE,Table1[[#This Row],[Not in English]]=TRUE,Table1[[#This Row],[Not retrieved]]=TRUE),TRUE,FALSE)</f>
        <v>1</v>
      </c>
      <c r="M132" s="1" t="s">
        <v>756</v>
      </c>
      <c r="N132" s="1"/>
      <c r="O132" s="1"/>
      <c r="P132" s="1"/>
      <c r="Q132" s="1"/>
      <c r="R132" s="1"/>
      <c r="S132" s="1"/>
      <c r="T132" s="1"/>
      <c r="U132" s="1"/>
      <c r="V132" s="1"/>
      <c r="W132" s="1"/>
      <c r="X132" s="1"/>
      <c r="Y132" s="1"/>
      <c r="Z132" s="1"/>
      <c r="AA132" s="1"/>
      <c r="AB132" s="1"/>
      <c r="AC132" s="1"/>
      <c r="AD132" s="1"/>
      <c r="AE132" s="1"/>
      <c r="AF13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33" spans="1:33" ht="43.5" hidden="1" x14ac:dyDescent="0.35">
      <c r="A133" s="1" t="s">
        <v>281</v>
      </c>
      <c r="B133" s="7" t="s">
        <v>282</v>
      </c>
      <c r="C133" t="s">
        <v>268</v>
      </c>
      <c r="E133" s="1" t="b">
        <v>0</v>
      </c>
      <c r="I133" s="1" t="b">
        <v>1</v>
      </c>
      <c r="J133" s="1"/>
      <c r="K133" s="1"/>
      <c r="L133" s="1" t="b">
        <f>IF(OR(Table1[[#This Row],[Does not regard DAIC-WOZ]]=TRUE,Table1[[#This Row],[Does not use MAE]]=TRUE,Table1[[#This Row],[Does not introduce new model]]=TRUE,Table1[[#This Row],[Not in English]]=TRUE,Table1[[#This Row],[Not retrieved]]=TRUE),TRUE,FALSE)</f>
        <v>1</v>
      </c>
      <c r="M133" s="1"/>
      <c r="N133" s="1"/>
      <c r="O133" s="1"/>
      <c r="P133" s="1"/>
      <c r="Q133" s="1"/>
      <c r="R133" s="1"/>
      <c r="S133" s="1"/>
      <c r="T133" s="1"/>
      <c r="U133" s="1"/>
      <c r="V133" s="1"/>
      <c r="W133" s="1"/>
      <c r="X133" s="1"/>
      <c r="Y133" s="1"/>
      <c r="Z133" s="1"/>
      <c r="AA133" s="1"/>
      <c r="AB133" s="1"/>
      <c r="AC133" s="1"/>
      <c r="AD133" s="1"/>
      <c r="AE133" s="1"/>
      <c r="AF13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34" spans="1:33" ht="29" hidden="1" x14ac:dyDescent="0.35">
      <c r="A134" s="1" t="s">
        <v>283</v>
      </c>
      <c r="B134" s="7" t="s">
        <v>284</v>
      </c>
      <c r="C134" t="s">
        <v>268</v>
      </c>
      <c r="E134" s="1" t="b">
        <v>0</v>
      </c>
      <c r="I134" s="1" t="b">
        <v>1</v>
      </c>
      <c r="J134" s="1"/>
      <c r="K134" s="1"/>
      <c r="L134" s="1" t="b">
        <f>IF(OR(Table1[[#This Row],[Does not regard DAIC-WOZ]]=TRUE,Table1[[#This Row],[Does not use MAE]]=TRUE,Table1[[#This Row],[Does not introduce new model]]=TRUE,Table1[[#This Row],[Not in English]]=TRUE,Table1[[#This Row],[Not retrieved]]=TRUE),TRUE,FALSE)</f>
        <v>1</v>
      </c>
      <c r="M134" s="1"/>
      <c r="N134" s="1"/>
      <c r="O134" s="1"/>
      <c r="P134" s="1"/>
      <c r="Q134" s="1"/>
      <c r="R134" s="1"/>
      <c r="S134" s="1"/>
      <c r="T134" s="1"/>
      <c r="U134" s="1"/>
      <c r="V134" s="1"/>
      <c r="W134" s="1"/>
      <c r="X134" s="1"/>
      <c r="Y134" s="1"/>
      <c r="Z134" s="1"/>
      <c r="AA134" s="1"/>
      <c r="AB134" s="1"/>
      <c r="AC134" s="1"/>
      <c r="AD134" s="1"/>
      <c r="AE134" s="1"/>
      <c r="AF13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35" spans="1:33" ht="43.5" hidden="1" x14ac:dyDescent="0.35">
      <c r="A135" s="1" t="s">
        <v>285</v>
      </c>
      <c r="B135" s="7" t="s">
        <v>286</v>
      </c>
      <c r="C135" t="s">
        <v>268</v>
      </c>
      <c r="E135" s="1" t="b">
        <v>0</v>
      </c>
      <c r="I135" s="1" t="b">
        <v>1</v>
      </c>
      <c r="J135" s="1"/>
      <c r="K135" s="1"/>
      <c r="L135" s="1" t="b">
        <f>IF(OR(Table1[[#This Row],[Does not regard DAIC-WOZ]]=TRUE,Table1[[#This Row],[Does not use MAE]]=TRUE,Table1[[#This Row],[Does not introduce new model]]=TRUE,Table1[[#This Row],[Not in English]]=TRUE,Table1[[#This Row],[Not retrieved]]=TRUE),TRUE,FALSE)</f>
        <v>1</v>
      </c>
      <c r="M135" s="1"/>
      <c r="N135" s="1"/>
      <c r="O135" s="1"/>
      <c r="P135" s="1"/>
      <c r="Q135" s="1"/>
      <c r="R135" s="1"/>
      <c r="S135" s="1"/>
      <c r="T135" s="1"/>
      <c r="U135" s="1"/>
      <c r="V135" s="1"/>
      <c r="W135" s="1"/>
      <c r="X135" s="1"/>
      <c r="Y135" s="1"/>
      <c r="Z135" s="1"/>
      <c r="AA135" s="1"/>
      <c r="AB135" s="1"/>
      <c r="AC135" s="1"/>
      <c r="AD135" s="1"/>
      <c r="AE135" s="1"/>
      <c r="AF13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36" spans="1:33" ht="43.5" hidden="1" x14ac:dyDescent="0.35">
      <c r="A136" s="1" t="s">
        <v>287</v>
      </c>
      <c r="B136" s="7" t="s">
        <v>288</v>
      </c>
      <c r="C136" t="s">
        <v>268</v>
      </c>
      <c r="E136" s="1" t="b">
        <v>0</v>
      </c>
      <c r="J136" s="1"/>
      <c r="K136" s="1"/>
      <c r="L136" s="1" t="b">
        <f>IF(OR(Table1[[#This Row],[Does not regard DAIC-WOZ]]=TRUE,Table1[[#This Row],[Does not use MAE]]=TRUE,Table1[[#This Row],[Does not introduce new model]]=TRUE,Table1[[#This Row],[Not in English]]=TRUE,Table1[[#This Row],[Not retrieved]]=TRUE),TRUE,FALSE)</f>
        <v>0</v>
      </c>
      <c r="M136" s="1" t="s">
        <v>753</v>
      </c>
      <c r="N136" s="1" t="s">
        <v>753</v>
      </c>
      <c r="O136" s="1" t="s">
        <v>753</v>
      </c>
      <c r="P136" s="1" t="s">
        <v>753</v>
      </c>
      <c r="Q136" s="1" t="s">
        <v>753</v>
      </c>
      <c r="R136" s="1" t="s">
        <v>753</v>
      </c>
      <c r="S136" s="1"/>
      <c r="T136" s="1" t="s">
        <v>770</v>
      </c>
      <c r="U136" s="1" t="s">
        <v>753</v>
      </c>
      <c r="V136" s="1" t="s">
        <v>753</v>
      </c>
      <c r="W136" s="1" t="s">
        <v>753</v>
      </c>
      <c r="X136" s="1" t="s">
        <v>753</v>
      </c>
      <c r="Y136" s="1" t="s">
        <v>753</v>
      </c>
      <c r="Z136" s="1" t="s">
        <v>753</v>
      </c>
      <c r="AA136" s="1" t="s">
        <v>773</v>
      </c>
      <c r="AB136" s="1" t="s">
        <v>773</v>
      </c>
      <c r="AC136" s="1" t="s">
        <v>753</v>
      </c>
      <c r="AD136" s="1" t="s">
        <v>753</v>
      </c>
      <c r="AE136" s="1"/>
      <c r="AF136"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36" t="s">
        <v>859</v>
      </c>
    </row>
    <row r="137" spans="1:33" ht="29" hidden="1" x14ac:dyDescent="0.35">
      <c r="A137" s="1" t="s">
        <v>289</v>
      </c>
      <c r="B137" s="7" t="s">
        <v>290</v>
      </c>
      <c r="C137" t="s">
        <v>268</v>
      </c>
      <c r="E137" s="1" t="b">
        <v>0</v>
      </c>
      <c r="I137" s="1" t="b">
        <v>1</v>
      </c>
      <c r="J137" s="1"/>
      <c r="K137" s="1"/>
      <c r="L137" s="1" t="b">
        <f>IF(OR(Table1[[#This Row],[Does not regard DAIC-WOZ]]=TRUE,Table1[[#This Row],[Does not use MAE]]=TRUE,Table1[[#This Row],[Does not introduce new model]]=TRUE,Table1[[#This Row],[Not in English]]=TRUE,Table1[[#This Row],[Not retrieved]]=TRUE),TRUE,FALSE)</f>
        <v>1</v>
      </c>
      <c r="M137" s="1"/>
      <c r="N137" s="1"/>
      <c r="O137" s="1"/>
      <c r="P137" s="1"/>
      <c r="Q137" s="1"/>
      <c r="R137" s="1"/>
      <c r="S137" s="1"/>
      <c r="T137" s="1"/>
      <c r="U137" s="1"/>
      <c r="V137" s="1"/>
      <c r="W137" s="1"/>
      <c r="X137" s="1"/>
      <c r="Y137" s="1"/>
      <c r="Z137" s="1"/>
      <c r="AA137" s="1"/>
      <c r="AB137" s="1"/>
      <c r="AC137" s="1"/>
      <c r="AD137" s="1"/>
      <c r="AE137" s="1"/>
      <c r="AF13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38" spans="1:33" ht="29" hidden="1" x14ac:dyDescent="0.35">
      <c r="A138" s="1" t="s">
        <v>291</v>
      </c>
      <c r="B138" s="7" t="s">
        <v>292</v>
      </c>
      <c r="C138" t="s">
        <v>268</v>
      </c>
      <c r="E138" s="1" t="b">
        <v>1</v>
      </c>
      <c r="J138" s="1"/>
      <c r="K138" s="1"/>
      <c r="L138" s="1" t="b">
        <f>IF(OR(Table1[[#This Row],[Does not regard DAIC-WOZ]]=TRUE,Table1[[#This Row],[Does not use MAE]]=TRUE,Table1[[#This Row],[Does not introduce new model]]=TRUE,Table1[[#This Row],[Not in English]]=TRUE,Table1[[#This Row],[Not retrieved]]=TRUE),TRUE,FALSE)</f>
        <v>0</v>
      </c>
      <c r="M138" s="1"/>
      <c r="N138" s="1"/>
      <c r="O138" s="1"/>
      <c r="P138" s="1"/>
      <c r="Q138" s="1"/>
      <c r="R138" s="1"/>
      <c r="S138" s="1"/>
      <c r="T138" s="1"/>
      <c r="U138" s="1"/>
      <c r="V138" s="1"/>
      <c r="W138" s="1"/>
      <c r="X138" s="1"/>
      <c r="Y138" s="1"/>
      <c r="Z138" s="1"/>
      <c r="AA138" s="1"/>
      <c r="AB138" s="1"/>
      <c r="AC138" s="1"/>
      <c r="AD138" s="1"/>
      <c r="AE138" s="1"/>
      <c r="AF13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38" s="1"/>
    </row>
    <row r="139" spans="1:33" ht="72.5" hidden="1" x14ac:dyDescent="0.35">
      <c r="A139" s="1" t="s">
        <v>293</v>
      </c>
      <c r="B139" s="7" t="s">
        <v>294</v>
      </c>
      <c r="C139" t="s">
        <v>268</v>
      </c>
      <c r="E139" s="1" t="b">
        <v>0</v>
      </c>
      <c r="J139" s="1"/>
      <c r="K139" s="1"/>
      <c r="L139" s="1" t="b">
        <f>IF(OR(Table1[[#This Row],[Does not regard DAIC-WOZ]]=TRUE,Table1[[#This Row],[Does not use MAE]]=TRUE,Table1[[#This Row],[Does not introduce new model]]=TRUE,Table1[[#This Row],[Not in English]]=TRUE,Table1[[#This Row],[Not retrieved]]=TRUE),TRUE,FALSE)</f>
        <v>0</v>
      </c>
      <c r="M139" s="1" t="s">
        <v>862</v>
      </c>
      <c r="N139" s="1" t="s">
        <v>779</v>
      </c>
      <c r="O139" s="1" t="s">
        <v>788</v>
      </c>
      <c r="P139" s="1" t="s">
        <v>861</v>
      </c>
      <c r="Q139" s="1" t="s">
        <v>753</v>
      </c>
      <c r="R139" s="1" t="s">
        <v>860</v>
      </c>
      <c r="S139" s="1"/>
      <c r="T139" s="1" t="s">
        <v>784</v>
      </c>
      <c r="U139" s="1">
        <v>3.49</v>
      </c>
      <c r="V139" s="1">
        <v>4.71</v>
      </c>
      <c r="W139" s="1" t="s">
        <v>753</v>
      </c>
      <c r="X139" s="1" t="s">
        <v>753</v>
      </c>
      <c r="Y139" s="1" t="s">
        <v>753</v>
      </c>
      <c r="Z139" s="1" t="s">
        <v>753</v>
      </c>
      <c r="AA139" s="1" t="s">
        <v>773</v>
      </c>
      <c r="AB139" s="1" t="s">
        <v>773</v>
      </c>
      <c r="AC139" s="1" t="s">
        <v>773</v>
      </c>
      <c r="AD139" s="1" t="s">
        <v>773</v>
      </c>
      <c r="AE139" s="1"/>
      <c r="AF139"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39" t="s">
        <v>863</v>
      </c>
    </row>
    <row r="140" spans="1:33" ht="29" hidden="1" x14ac:dyDescent="0.35">
      <c r="A140" s="1" t="s">
        <v>295</v>
      </c>
      <c r="B140" s="7" t="s">
        <v>296</v>
      </c>
      <c r="C140" t="s">
        <v>268</v>
      </c>
      <c r="E140" s="1" t="b">
        <v>1</v>
      </c>
      <c r="J140" s="1"/>
      <c r="K140" s="1"/>
      <c r="L140" s="1" t="b">
        <f>IF(OR(Table1[[#This Row],[Does not regard DAIC-WOZ]]=TRUE,Table1[[#This Row],[Does not use MAE]]=TRUE,Table1[[#This Row],[Does not introduce new model]]=TRUE,Table1[[#This Row],[Not in English]]=TRUE,Table1[[#This Row],[Not retrieved]]=TRUE),TRUE,FALSE)</f>
        <v>0</v>
      </c>
      <c r="M140" s="1"/>
      <c r="N140" s="1"/>
      <c r="O140" s="1"/>
      <c r="P140" s="1"/>
      <c r="Q140" s="1"/>
      <c r="R140" s="1"/>
      <c r="S140" s="1"/>
      <c r="T140" s="1"/>
      <c r="U140" s="1"/>
      <c r="V140" s="1"/>
      <c r="W140" s="1"/>
      <c r="X140" s="1"/>
      <c r="Y140" s="1"/>
      <c r="Z140" s="1"/>
      <c r="AA140" s="1"/>
      <c r="AB140" s="1"/>
      <c r="AC140" s="1"/>
      <c r="AD140" s="1"/>
      <c r="AE140" s="1"/>
      <c r="AF14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40" s="1"/>
    </row>
    <row r="141" spans="1:33" ht="43.5" hidden="1" x14ac:dyDescent="0.35">
      <c r="A141" s="1" t="s">
        <v>297</v>
      </c>
      <c r="B141" s="7" t="s">
        <v>298</v>
      </c>
      <c r="C141" t="s">
        <v>268</v>
      </c>
      <c r="E141" s="1" t="b">
        <v>0</v>
      </c>
      <c r="J141" s="1"/>
      <c r="K141" s="1" t="b">
        <v>1</v>
      </c>
      <c r="L141" s="1" t="b">
        <f>IF(OR(Table1[[#This Row],[Does not regard DAIC-WOZ]]=TRUE,Table1[[#This Row],[Does not use MAE]]=TRUE,Table1[[#This Row],[Does not introduce new model]]=TRUE,Table1[[#This Row],[Not in English]]=TRUE,Table1[[#This Row],[Not retrieved]]=TRUE),TRUE,FALSE)</f>
        <v>1</v>
      </c>
      <c r="M141" s="1"/>
      <c r="N141" s="1"/>
      <c r="O141" s="1"/>
      <c r="P141" s="1"/>
      <c r="Q141" s="1"/>
      <c r="R141" s="1"/>
      <c r="S141" s="1"/>
      <c r="T141" s="1"/>
      <c r="U141" s="1"/>
      <c r="V141" s="1"/>
      <c r="W141" s="1"/>
      <c r="X141" s="1"/>
      <c r="Y141" s="1"/>
      <c r="Z141" s="1"/>
      <c r="AA141" s="1"/>
      <c r="AB141" s="1"/>
      <c r="AC141" s="1"/>
      <c r="AD141" s="1"/>
      <c r="AE141" s="1"/>
      <c r="AF14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42" spans="1:33" ht="58" hidden="1" x14ac:dyDescent="0.35">
      <c r="A142" s="1" t="s">
        <v>299</v>
      </c>
      <c r="B142" s="7" t="s">
        <v>300</v>
      </c>
      <c r="C142" t="s">
        <v>268</v>
      </c>
      <c r="E142" s="1" t="b">
        <v>0</v>
      </c>
      <c r="J142" s="1"/>
      <c r="K142" s="1"/>
      <c r="L142" s="1" t="b">
        <f>IF(OR(Table1[[#This Row],[Does not regard DAIC-WOZ]]=TRUE,Table1[[#This Row],[Does not use MAE]]=TRUE,Table1[[#This Row],[Does not introduce new model]]=TRUE,Table1[[#This Row],[Not in English]]=TRUE,Table1[[#This Row],[Not retrieved]]=TRUE),TRUE,FALSE)</f>
        <v>0</v>
      </c>
      <c r="M142" s="1" t="s">
        <v>864</v>
      </c>
      <c r="N142" s="1" t="s">
        <v>753</v>
      </c>
      <c r="O142" s="1" t="s">
        <v>788</v>
      </c>
      <c r="P142" s="1" t="s">
        <v>753</v>
      </c>
      <c r="Q142" s="1" t="s">
        <v>787</v>
      </c>
      <c r="R142" s="1" t="s">
        <v>787</v>
      </c>
      <c r="S142" s="1"/>
      <c r="T142" s="1" t="s">
        <v>770</v>
      </c>
      <c r="U142" s="1">
        <v>2.4300000000000002</v>
      </c>
      <c r="V142" s="1">
        <v>3.37</v>
      </c>
      <c r="W142" s="1" t="s">
        <v>753</v>
      </c>
      <c r="X142" s="1">
        <v>3.76</v>
      </c>
      <c r="Y142" s="1">
        <v>4.78</v>
      </c>
      <c r="Z142" s="1" t="s">
        <v>753</v>
      </c>
      <c r="AA142" s="1" t="s">
        <v>773</v>
      </c>
      <c r="AB142" s="1" t="s">
        <v>773</v>
      </c>
      <c r="AC142" s="1" t="s">
        <v>778</v>
      </c>
      <c r="AD142" s="1" t="s">
        <v>773</v>
      </c>
      <c r="AE142" s="1"/>
      <c r="AF142"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42" t="s">
        <v>865</v>
      </c>
    </row>
    <row r="143" spans="1:33" ht="29" hidden="1" x14ac:dyDescent="0.35">
      <c r="A143" s="1" t="s">
        <v>301</v>
      </c>
      <c r="B143" s="7" t="s">
        <v>302</v>
      </c>
      <c r="C143" t="s">
        <v>268</v>
      </c>
      <c r="E143" s="1" t="b">
        <v>0</v>
      </c>
      <c r="I143" s="1" t="b">
        <v>1</v>
      </c>
      <c r="J143" s="1"/>
      <c r="K143" s="1"/>
      <c r="L143" s="1" t="b">
        <f>IF(OR(Table1[[#This Row],[Does not regard DAIC-WOZ]]=TRUE,Table1[[#This Row],[Does not use MAE]]=TRUE,Table1[[#This Row],[Does not introduce new model]]=TRUE,Table1[[#This Row],[Not in English]]=TRUE,Table1[[#This Row],[Not retrieved]]=TRUE),TRUE,FALSE)</f>
        <v>1</v>
      </c>
      <c r="M143" s="1"/>
      <c r="N143" s="1"/>
      <c r="O143" s="1"/>
      <c r="P143" s="1"/>
      <c r="Q143" s="1"/>
      <c r="R143" s="1"/>
      <c r="S143" s="1"/>
      <c r="T143" s="1"/>
      <c r="U143" s="1"/>
      <c r="V143" s="1"/>
      <c r="W143" s="1"/>
      <c r="X143" s="1"/>
      <c r="Y143" s="1"/>
      <c r="Z143" s="1"/>
      <c r="AA143" s="1"/>
      <c r="AB143" s="1"/>
      <c r="AC143" s="1"/>
      <c r="AD143" s="1"/>
      <c r="AE143" s="1"/>
      <c r="AF14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44" spans="1:33" ht="43.5" hidden="1" x14ac:dyDescent="0.35">
      <c r="A144" s="1" t="s">
        <v>303</v>
      </c>
      <c r="B144" s="7" t="s">
        <v>304</v>
      </c>
      <c r="C144" t="s">
        <v>268</v>
      </c>
      <c r="E144" s="1" t="b">
        <v>0</v>
      </c>
      <c r="J144" s="1"/>
      <c r="K144" s="1"/>
      <c r="L144" s="1" t="b">
        <f>IF(OR(Table1[[#This Row],[Does not regard DAIC-WOZ]]=TRUE,Table1[[#This Row],[Does not use MAE]]=TRUE,Table1[[#This Row],[Does not introduce new model]]=TRUE,Table1[[#This Row],[Not in English]]=TRUE,Table1[[#This Row],[Not retrieved]]=TRUE),TRUE,FALSE)</f>
        <v>0</v>
      </c>
      <c r="M144" s="1" t="s">
        <v>753</v>
      </c>
      <c r="N144" s="1" t="s">
        <v>779</v>
      </c>
      <c r="O144" s="1" t="s">
        <v>753</v>
      </c>
      <c r="P144" s="1" t="s">
        <v>866</v>
      </c>
      <c r="Q144" s="1" t="s">
        <v>777</v>
      </c>
      <c r="R144" s="1" t="s">
        <v>777</v>
      </c>
      <c r="S144" s="1"/>
      <c r="T144" s="1" t="s">
        <v>824</v>
      </c>
      <c r="U144" s="1">
        <v>4.6500000000000004</v>
      </c>
      <c r="V144" s="1" t="s">
        <v>753</v>
      </c>
      <c r="W144" s="1" t="s">
        <v>753</v>
      </c>
      <c r="X144" s="1" t="s">
        <v>753</v>
      </c>
      <c r="Y144" s="1" t="s">
        <v>753</v>
      </c>
      <c r="Z144" s="1" t="s">
        <v>753</v>
      </c>
      <c r="AA144" s="1" t="s">
        <v>773</v>
      </c>
      <c r="AB144" s="1" t="s">
        <v>773</v>
      </c>
      <c r="AC144" s="1" t="s">
        <v>773</v>
      </c>
      <c r="AD144" s="1" t="s">
        <v>773</v>
      </c>
      <c r="AE144" s="1"/>
      <c r="AF144"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44" t="s">
        <v>867</v>
      </c>
    </row>
    <row r="145" spans="1:33" ht="29" hidden="1" x14ac:dyDescent="0.35">
      <c r="A145" s="1" t="s">
        <v>305</v>
      </c>
      <c r="B145" s="7" t="s">
        <v>306</v>
      </c>
      <c r="C145" t="s">
        <v>268</v>
      </c>
      <c r="E145" s="1" t="b">
        <v>1</v>
      </c>
      <c r="J145" s="1"/>
      <c r="K145" s="1"/>
      <c r="L145" s="1" t="b">
        <f>IF(OR(Table1[[#This Row],[Does not regard DAIC-WOZ]]=TRUE,Table1[[#This Row],[Does not use MAE]]=TRUE,Table1[[#This Row],[Does not introduce new model]]=TRUE,Table1[[#This Row],[Not in English]]=TRUE,Table1[[#This Row],[Not retrieved]]=TRUE),TRUE,FALSE)</f>
        <v>0</v>
      </c>
      <c r="M145" s="1"/>
      <c r="N145" s="1"/>
      <c r="O145" s="1"/>
      <c r="P145" s="1"/>
      <c r="Q145" s="1"/>
      <c r="R145" s="1"/>
      <c r="S145" s="1"/>
      <c r="T145" s="1"/>
      <c r="U145" s="1"/>
      <c r="V145" s="1"/>
      <c r="W145" s="1"/>
      <c r="X145" s="1"/>
      <c r="Y145" s="1"/>
      <c r="Z145" s="1"/>
      <c r="AA145" s="1"/>
      <c r="AB145" s="1"/>
      <c r="AC145" s="1"/>
      <c r="AD145" s="1"/>
      <c r="AE145" s="1"/>
      <c r="AF14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45" s="1"/>
    </row>
    <row r="146" spans="1:33" ht="29" hidden="1" x14ac:dyDescent="0.35">
      <c r="A146" s="1" t="s">
        <v>307</v>
      </c>
      <c r="B146" s="7" t="s">
        <v>308</v>
      </c>
      <c r="C146" t="s">
        <v>268</v>
      </c>
      <c r="E146" s="1" t="b">
        <v>1</v>
      </c>
      <c r="J146" s="1"/>
      <c r="K146" s="1"/>
      <c r="L146" s="1" t="b">
        <f>IF(OR(Table1[[#This Row],[Does not regard DAIC-WOZ]]=TRUE,Table1[[#This Row],[Does not use MAE]]=TRUE,Table1[[#This Row],[Does not introduce new model]]=TRUE,Table1[[#This Row],[Not in English]]=TRUE,Table1[[#This Row],[Not retrieved]]=TRUE),TRUE,FALSE)</f>
        <v>0</v>
      </c>
      <c r="M146" s="1"/>
      <c r="N146" s="1"/>
      <c r="O146" s="1"/>
      <c r="P146" s="1"/>
      <c r="Q146" s="1"/>
      <c r="R146" s="1"/>
      <c r="S146" s="1"/>
      <c r="T146" s="1"/>
      <c r="U146" s="1"/>
      <c r="V146" s="1"/>
      <c r="W146" s="1"/>
      <c r="X146" s="1"/>
      <c r="Y146" s="1"/>
      <c r="Z146" s="1"/>
      <c r="AA146" s="1"/>
      <c r="AB146" s="1"/>
      <c r="AC146" s="1"/>
      <c r="AD146" s="1"/>
      <c r="AE146" s="1"/>
      <c r="AF14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46" s="1"/>
    </row>
    <row r="147" spans="1:33" hidden="1" x14ac:dyDescent="0.35">
      <c r="A147" s="1" t="s">
        <v>309</v>
      </c>
      <c r="B147" s="7" t="s">
        <v>310</v>
      </c>
      <c r="C147" t="s">
        <v>268</v>
      </c>
      <c r="E147" s="1" t="b">
        <v>1</v>
      </c>
      <c r="J147" s="1"/>
      <c r="K147" s="1"/>
      <c r="L147" s="1" t="b">
        <f>IF(OR(Table1[[#This Row],[Does not regard DAIC-WOZ]]=TRUE,Table1[[#This Row],[Does not use MAE]]=TRUE,Table1[[#This Row],[Does not introduce new model]]=TRUE,Table1[[#This Row],[Not in English]]=TRUE,Table1[[#This Row],[Not retrieved]]=TRUE),TRUE,FALSE)</f>
        <v>0</v>
      </c>
      <c r="M147" s="1"/>
      <c r="N147" s="1"/>
      <c r="O147" s="1"/>
      <c r="P147" s="1"/>
      <c r="Q147" s="1"/>
      <c r="R147" s="1"/>
      <c r="S147" s="1"/>
      <c r="T147" s="1"/>
      <c r="U147" s="1"/>
      <c r="V147" s="1"/>
      <c r="W147" s="1"/>
      <c r="X147" s="1"/>
      <c r="Y147" s="1"/>
      <c r="Z147" s="1"/>
      <c r="AA147" s="1"/>
      <c r="AB147" s="1"/>
      <c r="AC147" s="1"/>
      <c r="AD147" s="1"/>
      <c r="AE147" s="1"/>
      <c r="AF14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47" s="1"/>
    </row>
    <row r="148" spans="1:33" ht="29" hidden="1" x14ac:dyDescent="0.35">
      <c r="A148" s="1" t="s">
        <v>311</v>
      </c>
      <c r="B148" s="7" t="s">
        <v>312</v>
      </c>
      <c r="C148" t="s">
        <v>268</v>
      </c>
      <c r="E148" s="1" t="b">
        <v>1</v>
      </c>
      <c r="J148" s="1"/>
      <c r="K148" s="1"/>
      <c r="L148" s="1" t="b">
        <f>IF(OR(Table1[[#This Row],[Does not regard DAIC-WOZ]]=TRUE,Table1[[#This Row],[Does not use MAE]]=TRUE,Table1[[#This Row],[Does not introduce new model]]=TRUE,Table1[[#This Row],[Not in English]]=TRUE,Table1[[#This Row],[Not retrieved]]=TRUE),TRUE,FALSE)</f>
        <v>0</v>
      </c>
      <c r="M148" s="1"/>
      <c r="N148" s="1"/>
      <c r="O148" s="1"/>
      <c r="P148" s="1"/>
      <c r="Q148" s="1"/>
      <c r="R148" s="1"/>
      <c r="S148" s="1"/>
      <c r="T148" s="1"/>
      <c r="U148" s="1"/>
      <c r="V148" s="1"/>
      <c r="W148" s="1"/>
      <c r="X148" s="1"/>
      <c r="Y148" s="1"/>
      <c r="Z148" s="1"/>
      <c r="AA148" s="1"/>
      <c r="AB148" s="1"/>
      <c r="AC148" s="1"/>
      <c r="AD148" s="1"/>
      <c r="AE148" s="1"/>
      <c r="AF14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48" s="1"/>
    </row>
    <row r="149" spans="1:33" ht="43.5" hidden="1" x14ac:dyDescent="0.35">
      <c r="A149" s="1" t="s">
        <v>313</v>
      </c>
      <c r="B149" s="7" t="s">
        <v>314</v>
      </c>
      <c r="C149" t="s">
        <v>268</v>
      </c>
      <c r="D149" s="1"/>
      <c r="E149" s="1" t="b">
        <v>0</v>
      </c>
      <c r="F149" s="1" t="s">
        <v>738</v>
      </c>
      <c r="G149" s="1" t="b">
        <v>1</v>
      </c>
      <c r="J149" s="1"/>
      <c r="K149" s="1"/>
      <c r="L149" s="1" t="b">
        <f>IF(OR(Table1[[#This Row],[Does not regard DAIC-WOZ]]=TRUE,Table1[[#This Row],[Does not use MAE]]=TRUE,Table1[[#This Row],[Does not introduce new model]]=TRUE,Table1[[#This Row],[Not in English]]=TRUE,Table1[[#This Row],[Not retrieved]]=TRUE),TRUE,FALSE)</f>
        <v>1</v>
      </c>
      <c r="M149" s="1"/>
      <c r="N149" s="1"/>
      <c r="O149" s="1"/>
      <c r="P149" s="1"/>
      <c r="Q149" s="1"/>
      <c r="R149" s="1"/>
      <c r="S149" s="1"/>
      <c r="T149" s="1"/>
      <c r="U149" s="1"/>
      <c r="V149" s="1"/>
      <c r="W149" s="1"/>
      <c r="X149" s="1"/>
      <c r="Y149" s="1"/>
      <c r="Z149" s="1"/>
      <c r="AA149" s="1"/>
      <c r="AB149" s="1"/>
      <c r="AC149" s="1"/>
      <c r="AD149" s="1"/>
      <c r="AE149" s="1"/>
      <c r="AF14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49" s="1"/>
    </row>
    <row r="150" spans="1:33" ht="72.5" x14ac:dyDescent="0.35">
      <c r="A150" s="1" t="s">
        <v>315</v>
      </c>
      <c r="B150" s="7" t="s">
        <v>316</v>
      </c>
      <c r="C150" t="s">
        <v>268</v>
      </c>
      <c r="E150" s="1" t="b">
        <v>0</v>
      </c>
      <c r="J150" s="1"/>
      <c r="K150" s="1"/>
      <c r="L150" s="1" t="b">
        <f>IF(OR(Table1[[#This Row],[Does not regard DAIC-WOZ]]=TRUE,Table1[[#This Row],[Does not use MAE]]=TRUE,Table1[[#This Row],[Does not introduce new model]]=TRUE,Table1[[#This Row],[Not in English]]=TRUE,Table1[[#This Row],[Not retrieved]]=TRUE),TRUE,FALSE)</f>
        <v>0</v>
      </c>
      <c r="M150" s="1" t="s">
        <v>869</v>
      </c>
      <c r="N150" s="1" t="s">
        <v>868</v>
      </c>
      <c r="O150" s="1" t="s">
        <v>788</v>
      </c>
      <c r="P150" s="1" t="s">
        <v>871</v>
      </c>
      <c r="Q150" s="1" t="s">
        <v>777</v>
      </c>
      <c r="R150" s="1" t="s">
        <v>870</v>
      </c>
      <c r="S150" s="1"/>
      <c r="T150" s="1" t="s">
        <v>770</v>
      </c>
      <c r="U150" s="1">
        <v>3.76</v>
      </c>
      <c r="V150" s="1" t="s">
        <v>753</v>
      </c>
      <c r="W150" s="1" t="s">
        <v>753</v>
      </c>
      <c r="X150" s="1" t="s">
        <v>753</v>
      </c>
      <c r="Y150" s="1" t="s">
        <v>753</v>
      </c>
      <c r="Z150" s="1" t="s">
        <v>753</v>
      </c>
      <c r="AA150" s="1" t="s">
        <v>773</v>
      </c>
      <c r="AB150" s="1" t="s">
        <v>778</v>
      </c>
      <c r="AC150" s="1" t="s">
        <v>778</v>
      </c>
      <c r="AD150" s="1" t="s">
        <v>773</v>
      </c>
      <c r="AE150" s="1"/>
      <c r="AF150"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1</v>
      </c>
      <c r="AG150" t="s">
        <v>872</v>
      </c>
    </row>
    <row r="151" spans="1:33" ht="29" hidden="1" x14ac:dyDescent="0.35">
      <c r="A151" s="1" t="s">
        <v>317</v>
      </c>
      <c r="B151" s="7" t="s">
        <v>318</v>
      </c>
      <c r="C151" t="s">
        <v>268</v>
      </c>
      <c r="E151" s="1" t="b">
        <v>0</v>
      </c>
      <c r="J151" s="1"/>
      <c r="K151" s="1"/>
      <c r="L151" s="1" t="b">
        <f>IF(OR(Table1[[#This Row],[Does not regard DAIC-WOZ]]=TRUE,Table1[[#This Row],[Does not use MAE]]=TRUE,Table1[[#This Row],[Does not introduce new model]]=TRUE,Table1[[#This Row],[Not in English]]=TRUE,Table1[[#This Row],[Not retrieved]]=TRUE),TRUE,FALSE)</f>
        <v>0</v>
      </c>
      <c r="M151" s="1" t="s">
        <v>753</v>
      </c>
      <c r="N151" s="1" t="s">
        <v>779</v>
      </c>
      <c r="O151" s="1" t="s">
        <v>788</v>
      </c>
      <c r="P151" s="1" t="s">
        <v>928</v>
      </c>
      <c r="Q151" s="1" t="s">
        <v>753</v>
      </c>
      <c r="R151" s="1" t="s">
        <v>753</v>
      </c>
      <c r="S151" s="1"/>
      <c r="T151" s="1" t="s">
        <v>775</v>
      </c>
      <c r="U151" s="1">
        <v>4.08</v>
      </c>
      <c r="V151" s="1">
        <v>5.39</v>
      </c>
      <c r="W151" s="1" t="s">
        <v>753</v>
      </c>
      <c r="X151" s="1" t="s">
        <v>753</v>
      </c>
      <c r="Y151" s="1" t="s">
        <v>753</v>
      </c>
      <c r="Z151" s="1" t="s">
        <v>753</v>
      </c>
      <c r="AA151" s="1" t="s">
        <v>778</v>
      </c>
      <c r="AB151" s="1" t="s">
        <v>773</v>
      </c>
      <c r="AC151" s="1" t="s">
        <v>773</v>
      </c>
      <c r="AD151" s="1" t="s">
        <v>773</v>
      </c>
      <c r="AE151" s="1"/>
      <c r="AF151"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51" t="s">
        <v>929</v>
      </c>
    </row>
    <row r="152" spans="1:33" ht="43.5" hidden="1" x14ac:dyDescent="0.35">
      <c r="A152" s="1" t="s">
        <v>319</v>
      </c>
      <c r="B152" s="7" t="s">
        <v>320</v>
      </c>
      <c r="C152" t="s">
        <v>268</v>
      </c>
      <c r="E152" s="1" t="b">
        <v>1</v>
      </c>
      <c r="J152" s="1"/>
      <c r="K152" s="1"/>
      <c r="L152" s="1" t="b">
        <f>IF(OR(Table1[[#This Row],[Does not regard DAIC-WOZ]]=TRUE,Table1[[#This Row],[Does not use MAE]]=TRUE,Table1[[#This Row],[Does not introduce new model]]=TRUE,Table1[[#This Row],[Not in English]]=TRUE,Table1[[#This Row],[Not retrieved]]=TRUE),TRUE,FALSE)</f>
        <v>0</v>
      </c>
      <c r="M152" s="1"/>
      <c r="N152" s="1"/>
      <c r="O152" s="1"/>
      <c r="P152" s="1"/>
      <c r="Q152" s="1"/>
      <c r="R152" s="1"/>
      <c r="S152" s="1"/>
      <c r="T152" s="1"/>
      <c r="U152" s="1"/>
      <c r="V152" s="1"/>
      <c r="W152" s="1"/>
      <c r="X152" s="1"/>
      <c r="Y152" s="1"/>
      <c r="Z152" s="1"/>
      <c r="AA152" s="1"/>
      <c r="AB152" s="1"/>
      <c r="AC152" s="1"/>
      <c r="AD152" s="1"/>
      <c r="AE152" s="1"/>
      <c r="AF15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52" s="1"/>
    </row>
    <row r="153" spans="1:33" ht="43.5" hidden="1" x14ac:dyDescent="0.35">
      <c r="A153" s="1" t="s">
        <v>321</v>
      </c>
      <c r="B153" s="7" t="s">
        <v>322</v>
      </c>
      <c r="C153" t="s">
        <v>268</v>
      </c>
      <c r="E153" s="1" t="b">
        <v>1</v>
      </c>
      <c r="J153" s="1"/>
      <c r="K153" s="1"/>
      <c r="L153" s="1" t="b">
        <f>IF(OR(Table1[[#This Row],[Does not regard DAIC-WOZ]]=TRUE,Table1[[#This Row],[Does not use MAE]]=TRUE,Table1[[#This Row],[Does not introduce new model]]=TRUE,Table1[[#This Row],[Not in English]]=TRUE,Table1[[#This Row],[Not retrieved]]=TRUE),TRUE,FALSE)</f>
        <v>0</v>
      </c>
      <c r="M153" s="1"/>
      <c r="N153" s="1"/>
      <c r="O153" s="1"/>
      <c r="P153" s="1"/>
      <c r="Q153" s="1"/>
      <c r="R153" s="1"/>
      <c r="S153" s="1"/>
      <c r="T153" s="1"/>
      <c r="U153" s="1"/>
      <c r="V153" s="1"/>
      <c r="W153" s="1"/>
      <c r="X153" s="1"/>
      <c r="Y153" s="1"/>
      <c r="Z153" s="1"/>
      <c r="AA153" s="1"/>
      <c r="AB153" s="1"/>
      <c r="AC153" s="1"/>
      <c r="AD153" s="1"/>
      <c r="AE153" s="1"/>
      <c r="AF15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53" s="1"/>
    </row>
    <row r="154" spans="1:33" ht="29" hidden="1" x14ac:dyDescent="0.35">
      <c r="A154" s="1" t="s">
        <v>323</v>
      </c>
      <c r="B154" s="7" t="s">
        <v>324</v>
      </c>
      <c r="C154" t="s">
        <v>268</v>
      </c>
      <c r="E154" s="1" t="b">
        <v>1</v>
      </c>
      <c r="J154" s="1"/>
      <c r="K154" s="1"/>
      <c r="L154" s="1" t="b">
        <f>IF(OR(Table1[[#This Row],[Does not regard DAIC-WOZ]]=TRUE,Table1[[#This Row],[Does not use MAE]]=TRUE,Table1[[#This Row],[Does not introduce new model]]=TRUE,Table1[[#This Row],[Not in English]]=TRUE,Table1[[#This Row],[Not retrieved]]=TRUE),TRUE,FALSE)</f>
        <v>0</v>
      </c>
      <c r="M154" s="1"/>
      <c r="N154" s="1"/>
      <c r="O154" s="1"/>
      <c r="P154" s="1"/>
      <c r="Q154" s="1"/>
      <c r="R154" s="1"/>
      <c r="S154" s="1"/>
      <c r="T154" s="1"/>
      <c r="U154" s="1"/>
      <c r="V154" s="1"/>
      <c r="W154" s="1"/>
      <c r="X154" s="1"/>
      <c r="Y154" s="1"/>
      <c r="Z154" s="1"/>
      <c r="AA154" s="1"/>
      <c r="AB154" s="1"/>
      <c r="AC154" s="1"/>
      <c r="AD154" s="1"/>
      <c r="AE154" s="1"/>
      <c r="AF15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54" s="1"/>
    </row>
    <row r="155" spans="1:33" ht="72.5" hidden="1" x14ac:dyDescent="0.35">
      <c r="A155" s="1" t="s">
        <v>325</v>
      </c>
      <c r="B155" s="7" t="s">
        <v>326</v>
      </c>
      <c r="C155" t="s">
        <v>268</v>
      </c>
      <c r="E155" s="1" t="b">
        <v>0</v>
      </c>
      <c r="J155" s="1"/>
      <c r="K155" s="1"/>
      <c r="L155" s="1" t="b">
        <f>IF(OR(Table1[[#This Row],[Does not regard DAIC-WOZ]]=TRUE,Table1[[#This Row],[Does not use MAE]]=TRUE,Table1[[#This Row],[Does not introduce new model]]=TRUE,Table1[[#This Row],[Not in English]]=TRUE,Table1[[#This Row],[Not retrieved]]=TRUE),TRUE,FALSE)</f>
        <v>0</v>
      </c>
      <c r="M155" s="1" t="s">
        <v>933</v>
      </c>
      <c r="N155" s="1" t="s">
        <v>779</v>
      </c>
      <c r="O155" s="1" t="s">
        <v>932</v>
      </c>
      <c r="P155" s="1" t="s">
        <v>934</v>
      </c>
      <c r="Q155" s="1" t="s">
        <v>777</v>
      </c>
      <c r="R155" s="1" t="s">
        <v>753</v>
      </c>
      <c r="S155" s="1"/>
      <c r="T155" s="1" t="s">
        <v>769</v>
      </c>
      <c r="U155" s="1">
        <v>5.0999999999999996</v>
      </c>
      <c r="V155" s="1">
        <v>5.91</v>
      </c>
      <c r="W155" s="1" t="s">
        <v>753</v>
      </c>
      <c r="X155" s="1">
        <v>5.38</v>
      </c>
      <c r="Y155" s="1">
        <v>6.36</v>
      </c>
      <c r="Z155" s="1" t="s">
        <v>753</v>
      </c>
      <c r="AA155" s="1" t="s">
        <v>773</v>
      </c>
      <c r="AB155" s="1" t="s">
        <v>773</v>
      </c>
      <c r="AC155" s="1" t="s">
        <v>778</v>
      </c>
      <c r="AD155" s="1" t="s">
        <v>773</v>
      </c>
      <c r="AE155" s="1"/>
      <c r="AF155"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55" t="s">
        <v>935</v>
      </c>
    </row>
    <row r="156" spans="1:33" hidden="1" x14ac:dyDescent="0.35">
      <c r="A156" s="1" t="s">
        <v>327</v>
      </c>
      <c r="B156" s="7" t="s">
        <v>328</v>
      </c>
      <c r="C156" t="s">
        <v>268</v>
      </c>
      <c r="E156" s="1" t="b">
        <v>1</v>
      </c>
      <c r="J156" s="1"/>
      <c r="K156" s="1"/>
      <c r="L156" s="1" t="b">
        <f>IF(OR(Table1[[#This Row],[Does not regard DAIC-WOZ]]=TRUE,Table1[[#This Row],[Does not use MAE]]=TRUE,Table1[[#This Row],[Does not introduce new model]]=TRUE,Table1[[#This Row],[Not in English]]=TRUE,Table1[[#This Row],[Not retrieved]]=TRUE),TRUE,FALSE)</f>
        <v>0</v>
      </c>
      <c r="M156" s="1"/>
      <c r="N156" s="1"/>
      <c r="O156" s="1"/>
      <c r="P156" s="1"/>
      <c r="Q156" s="1"/>
      <c r="R156" s="1"/>
      <c r="S156" s="1"/>
      <c r="T156" s="1"/>
      <c r="U156" s="1"/>
      <c r="V156" s="1"/>
      <c r="W156" s="1"/>
      <c r="X156" s="1"/>
      <c r="Y156" s="1"/>
      <c r="Z156" s="1"/>
      <c r="AA156" s="1"/>
      <c r="AB156" s="1"/>
      <c r="AC156" s="1"/>
      <c r="AD156" s="1"/>
      <c r="AE156" s="1"/>
      <c r="AF15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56" s="1"/>
    </row>
    <row r="157" spans="1:33" ht="29" hidden="1" x14ac:dyDescent="0.35">
      <c r="A157" s="1" t="s">
        <v>329</v>
      </c>
      <c r="B157" s="7" t="s">
        <v>330</v>
      </c>
      <c r="C157" t="s">
        <v>268</v>
      </c>
      <c r="D157" s="1"/>
      <c r="E157" s="1" t="b">
        <v>0</v>
      </c>
      <c r="F157" s="1" t="s">
        <v>724</v>
      </c>
      <c r="G157" s="1" t="b">
        <v>1</v>
      </c>
      <c r="J157" s="1"/>
      <c r="K157" s="1"/>
      <c r="L157" s="1" t="b">
        <f>IF(OR(Table1[[#This Row],[Does not regard DAIC-WOZ]]=TRUE,Table1[[#This Row],[Does not use MAE]]=TRUE,Table1[[#This Row],[Does not introduce new model]]=TRUE,Table1[[#This Row],[Not in English]]=TRUE,Table1[[#This Row],[Not retrieved]]=TRUE),TRUE,FALSE)</f>
        <v>1</v>
      </c>
      <c r="M157" s="1"/>
      <c r="N157" s="1"/>
      <c r="O157" s="1"/>
      <c r="P157" s="1"/>
      <c r="Q157" s="1"/>
      <c r="R157" s="1"/>
      <c r="S157" s="1"/>
      <c r="T157" s="1"/>
      <c r="U157" s="1"/>
      <c r="V157" s="1"/>
      <c r="W157" s="1"/>
      <c r="X157" s="1"/>
      <c r="Y157" s="1"/>
      <c r="Z157" s="1"/>
      <c r="AA157" s="1"/>
      <c r="AB157" s="1"/>
      <c r="AC157" s="1"/>
      <c r="AD157" s="1"/>
      <c r="AE157" s="1"/>
      <c r="AF15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57" s="1"/>
    </row>
    <row r="158" spans="1:33" hidden="1" x14ac:dyDescent="0.35">
      <c r="A158" s="1" t="s">
        <v>331</v>
      </c>
      <c r="B158" s="7" t="s">
        <v>332</v>
      </c>
      <c r="C158" t="s">
        <v>268</v>
      </c>
      <c r="E158" s="1" t="b">
        <v>1</v>
      </c>
      <c r="J158" s="1"/>
      <c r="K158" s="1"/>
      <c r="L158" s="1" t="b">
        <f>IF(OR(Table1[[#This Row],[Does not regard DAIC-WOZ]]=TRUE,Table1[[#This Row],[Does not use MAE]]=TRUE,Table1[[#This Row],[Does not introduce new model]]=TRUE,Table1[[#This Row],[Not in English]]=TRUE,Table1[[#This Row],[Not retrieved]]=TRUE),TRUE,FALSE)</f>
        <v>0</v>
      </c>
      <c r="M158" s="1"/>
      <c r="N158" s="1"/>
      <c r="O158" s="1"/>
      <c r="P158" s="1"/>
      <c r="Q158" s="1"/>
      <c r="R158" s="1"/>
      <c r="S158" s="1"/>
      <c r="T158" s="1"/>
      <c r="U158" s="1"/>
      <c r="V158" s="1"/>
      <c r="W158" s="1"/>
      <c r="X158" s="1"/>
      <c r="Y158" s="1"/>
      <c r="Z158" s="1"/>
      <c r="AA158" s="1"/>
      <c r="AB158" s="1"/>
      <c r="AC158" s="1"/>
      <c r="AD158" s="1"/>
      <c r="AE158" s="1"/>
      <c r="AF15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58" s="1"/>
    </row>
    <row r="159" spans="1:33" ht="116" hidden="1" x14ac:dyDescent="0.35">
      <c r="A159" s="1" t="s">
        <v>333</v>
      </c>
      <c r="B159" s="7" t="s">
        <v>334</v>
      </c>
      <c r="C159" t="s">
        <v>268</v>
      </c>
      <c r="E159" s="1" t="b">
        <v>0</v>
      </c>
      <c r="J159" s="1"/>
      <c r="K159" s="1"/>
      <c r="L159" s="1" t="b">
        <f>IF(OR(Table1[[#This Row],[Does not regard DAIC-WOZ]]=TRUE,Table1[[#This Row],[Does not use MAE]]=TRUE,Table1[[#This Row],[Does not introduce new model]]=TRUE,Table1[[#This Row],[Not in English]]=TRUE,Table1[[#This Row],[Not retrieved]]=TRUE),TRUE,FALSE)</f>
        <v>0</v>
      </c>
      <c r="M159" s="1" t="s">
        <v>753</v>
      </c>
      <c r="N159" s="1" t="s">
        <v>779</v>
      </c>
      <c r="O159" s="1" t="s">
        <v>788</v>
      </c>
      <c r="P159" s="1" t="s">
        <v>807</v>
      </c>
      <c r="Q159" s="1" t="s">
        <v>777</v>
      </c>
      <c r="R159" s="1" t="s">
        <v>873</v>
      </c>
      <c r="S159" s="1"/>
      <c r="T159" s="1" t="s">
        <v>770</v>
      </c>
      <c r="U159" s="1">
        <v>5.43</v>
      </c>
      <c r="V159" s="1" t="s">
        <v>753</v>
      </c>
      <c r="W159" s="1" t="s">
        <v>753</v>
      </c>
      <c r="X159" s="1" t="s">
        <v>753</v>
      </c>
      <c r="Y159" s="1" t="s">
        <v>753</v>
      </c>
      <c r="Z159" s="1" t="s">
        <v>753</v>
      </c>
      <c r="AA159" s="1" t="s">
        <v>778</v>
      </c>
      <c r="AB159" s="1" t="s">
        <v>778</v>
      </c>
      <c r="AC159" s="1" t="s">
        <v>778</v>
      </c>
      <c r="AD159" s="1" t="s">
        <v>773</v>
      </c>
      <c r="AE159" s="1"/>
      <c r="AF159"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59" t="s">
        <v>874</v>
      </c>
    </row>
    <row r="160" spans="1:33" ht="29" hidden="1" x14ac:dyDescent="0.35">
      <c r="A160" s="1" t="s">
        <v>335</v>
      </c>
      <c r="B160" s="7" t="s">
        <v>336</v>
      </c>
      <c r="C160" t="s">
        <v>268</v>
      </c>
      <c r="E160" s="1" t="b">
        <v>0</v>
      </c>
      <c r="H160" s="1" t="b">
        <v>1</v>
      </c>
      <c r="J160" s="1"/>
      <c r="K160" s="1"/>
      <c r="L160" s="1" t="b">
        <f>IF(OR(Table1[[#This Row],[Does not regard DAIC-WOZ]]=TRUE,Table1[[#This Row],[Does not use MAE]]=TRUE,Table1[[#This Row],[Does not introduce new model]]=TRUE,Table1[[#This Row],[Not in English]]=TRUE,Table1[[#This Row],[Not retrieved]]=TRUE),TRUE,FALSE)</f>
        <v>1</v>
      </c>
      <c r="M160" s="1" t="s">
        <v>756</v>
      </c>
      <c r="N160" s="1"/>
      <c r="O160" s="1"/>
      <c r="P160" s="1"/>
      <c r="Q160" s="1"/>
      <c r="R160" s="1"/>
      <c r="S160" s="1"/>
      <c r="T160" s="1"/>
      <c r="U160" s="1"/>
      <c r="V160" s="1"/>
      <c r="W160" s="1"/>
      <c r="X160" s="1"/>
      <c r="Y160" s="1"/>
      <c r="Z160" s="1"/>
      <c r="AA160" s="1"/>
      <c r="AB160" s="1"/>
      <c r="AC160" s="1"/>
      <c r="AD160" s="1"/>
      <c r="AE160" s="1"/>
      <c r="AF16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61" spans="1:33" ht="43.5" hidden="1" x14ac:dyDescent="0.35">
      <c r="A161" s="1" t="s">
        <v>337</v>
      </c>
      <c r="B161" s="7" t="s">
        <v>338</v>
      </c>
      <c r="C161" t="s">
        <v>268</v>
      </c>
      <c r="E161" s="1" t="b">
        <v>0</v>
      </c>
      <c r="J161" s="1"/>
      <c r="K161" s="1"/>
      <c r="L161" s="1" t="b">
        <f>IF(OR(Table1[[#This Row],[Does not regard DAIC-WOZ]]=TRUE,Table1[[#This Row],[Does not use MAE]]=TRUE,Table1[[#This Row],[Does not introduce new model]]=TRUE,Table1[[#This Row],[Not in English]]=TRUE,Table1[[#This Row],[Not retrieved]]=TRUE),TRUE,FALSE)</f>
        <v>0</v>
      </c>
      <c r="M161" s="1" t="s">
        <v>862</v>
      </c>
      <c r="N161" s="1" t="s">
        <v>753</v>
      </c>
      <c r="O161" s="1" t="s">
        <v>788</v>
      </c>
      <c r="P161" s="1" t="s">
        <v>875</v>
      </c>
      <c r="Q161" s="1" t="s">
        <v>753</v>
      </c>
      <c r="R161" s="1" t="s">
        <v>753</v>
      </c>
      <c r="S161" s="1"/>
      <c r="T161" s="1" t="s">
        <v>784</v>
      </c>
      <c r="U161" s="1" t="s">
        <v>753</v>
      </c>
      <c r="V161" s="1" t="s">
        <v>753</v>
      </c>
      <c r="W161" s="1" t="s">
        <v>753</v>
      </c>
      <c r="X161" s="1" t="s">
        <v>753</v>
      </c>
      <c r="Y161" s="1" t="s">
        <v>753</v>
      </c>
      <c r="Z161" s="1" t="s">
        <v>753</v>
      </c>
      <c r="AA161" s="1" t="s">
        <v>778</v>
      </c>
      <c r="AB161" s="1" t="s">
        <v>773</v>
      </c>
      <c r="AC161" s="1" t="s">
        <v>773</v>
      </c>
      <c r="AD161" s="1" t="s">
        <v>753</v>
      </c>
      <c r="AE161" s="1"/>
      <c r="AF161"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61" t="s">
        <v>876</v>
      </c>
    </row>
    <row r="162" spans="1:33" ht="87" hidden="1" x14ac:dyDescent="0.35">
      <c r="A162" s="1" t="s">
        <v>339</v>
      </c>
      <c r="B162" s="7" t="s">
        <v>340</v>
      </c>
      <c r="C162" t="s">
        <v>268</v>
      </c>
      <c r="E162" s="1" t="b">
        <v>0</v>
      </c>
      <c r="J162" s="1"/>
      <c r="K162" s="1"/>
      <c r="L162" s="1" t="b">
        <f>IF(OR(Table1[[#This Row],[Does not regard DAIC-WOZ]]=TRUE,Table1[[#This Row],[Does not use MAE]]=TRUE,Table1[[#This Row],[Does not introduce new model]]=TRUE,Table1[[#This Row],[Not in English]]=TRUE,Table1[[#This Row],[Not retrieved]]=TRUE),TRUE,FALSE)</f>
        <v>0</v>
      </c>
      <c r="M162" s="1" t="s">
        <v>879</v>
      </c>
      <c r="N162" s="1" t="s">
        <v>877</v>
      </c>
      <c r="O162" s="1" t="s">
        <v>788</v>
      </c>
      <c r="P162" s="1" t="s">
        <v>861</v>
      </c>
      <c r="Q162" s="1" t="s">
        <v>753</v>
      </c>
      <c r="R162" s="1" t="s">
        <v>878</v>
      </c>
      <c r="S162" s="1"/>
      <c r="T162" s="1" t="s">
        <v>770</v>
      </c>
      <c r="U162" s="1" t="s">
        <v>753</v>
      </c>
      <c r="V162" s="1" t="s">
        <v>753</v>
      </c>
      <c r="W162" s="1" t="s">
        <v>753</v>
      </c>
      <c r="X162" s="1">
        <v>3.69</v>
      </c>
      <c r="Y162" s="1">
        <v>4.6100000000000003</v>
      </c>
      <c r="Z162" s="1">
        <v>0.52</v>
      </c>
      <c r="AA162" s="1" t="s">
        <v>773</v>
      </c>
      <c r="AB162" s="1" t="s">
        <v>778</v>
      </c>
      <c r="AC162" s="1" t="s">
        <v>778</v>
      </c>
      <c r="AD162" s="1" t="s">
        <v>773</v>
      </c>
      <c r="AE162" s="1"/>
      <c r="AF162"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62" t="s">
        <v>880</v>
      </c>
    </row>
    <row r="163" spans="1:33" ht="29" hidden="1" x14ac:dyDescent="0.35">
      <c r="A163" s="1" t="s">
        <v>341</v>
      </c>
      <c r="B163" s="7" t="s">
        <v>342</v>
      </c>
      <c r="C163" t="s">
        <v>268</v>
      </c>
      <c r="E163" s="1" t="b">
        <v>1</v>
      </c>
      <c r="J163" s="1"/>
      <c r="K163" s="1"/>
      <c r="L163" s="1" t="b">
        <f>IF(OR(Table1[[#This Row],[Does not regard DAIC-WOZ]]=TRUE,Table1[[#This Row],[Does not use MAE]]=TRUE,Table1[[#This Row],[Does not introduce new model]]=TRUE,Table1[[#This Row],[Not in English]]=TRUE,Table1[[#This Row],[Not retrieved]]=TRUE),TRUE,FALSE)</f>
        <v>0</v>
      </c>
      <c r="M163" s="1"/>
      <c r="N163" s="1"/>
      <c r="O163" s="1"/>
      <c r="P163" s="1"/>
      <c r="Q163" s="1"/>
      <c r="R163" s="1"/>
      <c r="S163" s="1"/>
      <c r="T163" s="1"/>
      <c r="U163" s="1"/>
      <c r="V163" s="1"/>
      <c r="W163" s="1"/>
      <c r="X163" s="1"/>
      <c r="Y163" s="1"/>
      <c r="Z163" s="1"/>
      <c r="AA163" s="1"/>
      <c r="AB163" s="1"/>
      <c r="AC163" s="1"/>
      <c r="AD163" s="1"/>
      <c r="AE163" s="1"/>
      <c r="AF16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64" spans="1:33" ht="29" hidden="1" x14ac:dyDescent="0.35">
      <c r="A164" s="1" t="s">
        <v>343</v>
      </c>
      <c r="B164" s="7" t="s">
        <v>344</v>
      </c>
      <c r="C164" t="s">
        <v>268</v>
      </c>
      <c r="E164" s="1" t="b">
        <v>0</v>
      </c>
      <c r="I164" s="1" t="b">
        <v>1</v>
      </c>
      <c r="J164" s="1"/>
      <c r="K164" s="1"/>
      <c r="L164" s="1" t="b">
        <f>IF(OR(Table1[[#This Row],[Does not regard DAIC-WOZ]]=TRUE,Table1[[#This Row],[Does not use MAE]]=TRUE,Table1[[#This Row],[Does not introduce new model]]=TRUE,Table1[[#This Row],[Not in English]]=TRUE,Table1[[#This Row],[Not retrieved]]=TRUE),TRUE,FALSE)</f>
        <v>1</v>
      </c>
      <c r="M164" s="1" t="s">
        <v>756</v>
      </c>
      <c r="N164" s="1"/>
      <c r="O164" s="1"/>
      <c r="P164" s="1"/>
      <c r="Q164" s="1"/>
      <c r="R164" s="1"/>
      <c r="S164" s="1"/>
      <c r="T164" s="1"/>
      <c r="U164" s="1"/>
      <c r="V164" s="1"/>
      <c r="W164" s="1"/>
      <c r="X164" s="1"/>
      <c r="Y164" s="1"/>
      <c r="Z164" s="1"/>
      <c r="AA164" s="1"/>
      <c r="AB164" s="1"/>
      <c r="AC164" s="1"/>
      <c r="AD164" s="1"/>
      <c r="AE164" s="1"/>
      <c r="AF16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64" s="1"/>
    </row>
    <row r="165" spans="1:33" ht="29" hidden="1" x14ac:dyDescent="0.35">
      <c r="A165" s="1" t="s">
        <v>345</v>
      </c>
      <c r="B165" s="7" t="s">
        <v>346</v>
      </c>
      <c r="C165" t="s">
        <v>268</v>
      </c>
      <c r="E165" s="1" t="b">
        <v>1</v>
      </c>
      <c r="J165" s="1"/>
      <c r="K165" s="1"/>
      <c r="L165" s="1" t="b">
        <f>IF(OR(Table1[[#This Row],[Does not regard DAIC-WOZ]]=TRUE,Table1[[#This Row],[Does not use MAE]]=TRUE,Table1[[#This Row],[Does not introduce new model]]=TRUE,Table1[[#This Row],[Not in English]]=TRUE,Table1[[#This Row],[Not retrieved]]=TRUE),TRUE,FALSE)</f>
        <v>0</v>
      </c>
      <c r="M165" s="1"/>
      <c r="N165" s="1"/>
      <c r="O165" s="1"/>
      <c r="P165" s="1"/>
      <c r="Q165" s="1"/>
      <c r="R165" s="1"/>
      <c r="S165" s="1"/>
      <c r="T165" s="1"/>
      <c r="U165" s="1"/>
      <c r="V165" s="1"/>
      <c r="W165" s="1"/>
      <c r="X165" s="1"/>
      <c r="Y165" s="1"/>
      <c r="Z165" s="1"/>
      <c r="AA165" s="1"/>
      <c r="AB165" s="1"/>
      <c r="AC165" s="1"/>
      <c r="AD165" s="1"/>
      <c r="AE165" s="1"/>
      <c r="AF16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65" s="1"/>
    </row>
    <row r="166" spans="1:33" ht="58" hidden="1" x14ac:dyDescent="0.35">
      <c r="A166" s="1" t="s">
        <v>347</v>
      </c>
      <c r="B166" s="7" t="s">
        <v>348</v>
      </c>
      <c r="C166" t="s">
        <v>268</v>
      </c>
      <c r="E166" s="1" t="b">
        <v>1</v>
      </c>
      <c r="J166" s="1"/>
      <c r="K166" s="1"/>
      <c r="L166" s="1" t="b">
        <f>IF(OR(Table1[[#This Row],[Does not regard DAIC-WOZ]]=TRUE,Table1[[#This Row],[Does not use MAE]]=TRUE,Table1[[#This Row],[Does not introduce new model]]=TRUE,Table1[[#This Row],[Not in English]]=TRUE,Table1[[#This Row],[Not retrieved]]=TRUE),TRUE,FALSE)</f>
        <v>0</v>
      </c>
      <c r="M166" s="1"/>
      <c r="N166" s="1"/>
      <c r="O166" s="1"/>
      <c r="P166" s="1"/>
      <c r="Q166" s="1"/>
      <c r="R166" s="1"/>
      <c r="S166" s="1"/>
      <c r="T166" s="1"/>
      <c r="U166" s="1"/>
      <c r="V166" s="1"/>
      <c r="W166" s="1"/>
      <c r="X166" s="1"/>
      <c r="Y166" s="1"/>
      <c r="Z166" s="1"/>
      <c r="AA166" s="1"/>
      <c r="AB166" s="1"/>
      <c r="AC166" s="1"/>
      <c r="AD166" s="1"/>
      <c r="AE166" s="1"/>
      <c r="AF16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66" s="1"/>
    </row>
    <row r="167" spans="1:33" ht="43.5" hidden="1" x14ac:dyDescent="0.35">
      <c r="A167" s="1" t="s">
        <v>349</v>
      </c>
      <c r="B167" s="7" t="s">
        <v>350</v>
      </c>
      <c r="C167" t="s">
        <v>268</v>
      </c>
      <c r="E167" s="1" t="b">
        <v>1</v>
      </c>
      <c r="J167" s="1"/>
      <c r="K167" s="1"/>
      <c r="L167" s="1" t="b">
        <f>IF(OR(Table1[[#This Row],[Does not regard DAIC-WOZ]]=TRUE,Table1[[#This Row],[Does not use MAE]]=TRUE,Table1[[#This Row],[Does not introduce new model]]=TRUE,Table1[[#This Row],[Not in English]]=TRUE,Table1[[#This Row],[Not retrieved]]=TRUE),TRUE,FALSE)</f>
        <v>0</v>
      </c>
      <c r="M167" s="1"/>
      <c r="N167" s="1"/>
      <c r="O167" s="1"/>
      <c r="P167" s="1"/>
      <c r="Q167" s="1"/>
      <c r="R167" s="1"/>
      <c r="S167" s="1"/>
      <c r="T167" s="1"/>
      <c r="U167" s="1"/>
      <c r="V167" s="1"/>
      <c r="W167" s="1"/>
      <c r="X167" s="1"/>
      <c r="Y167" s="1"/>
      <c r="Z167" s="1"/>
      <c r="AA167" s="1"/>
      <c r="AB167" s="1"/>
      <c r="AC167" s="1"/>
      <c r="AD167" s="1"/>
      <c r="AE167" s="1"/>
      <c r="AF16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67" s="1"/>
    </row>
    <row r="168" spans="1:33" ht="29" hidden="1" x14ac:dyDescent="0.35">
      <c r="A168" s="1" t="s">
        <v>351</v>
      </c>
      <c r="B168" s="7" t="s">
        <v>352</v>
      </c>
      <c r="C168" t="s">
        <v>268</v>
      </c>
      <c r="E168" s="1" t="b">
        <v>0</v>
      </c>
      <c r="J168" s="1"/>
      <c r="K168" s="1"/>
      <c r="L168" s="1" t="b">
        <f>IF(OR(Table1[[#This Row],[Does not regard DAIC-WOZ]]=TRUE,Table1[[#This Row],[Does not use MAE]]=TRUE,Table1[[#This Row],[Does not introduce new model]]=TRUE,Table1[[#This Row],[Not in English]]=TRUE,Table1[[#This Row],[Not retrieved]]=TRUE),TRUE,FALSE)</f>
        <v>0</v>
      </c>
      <c r="M168" s="1" t="s">
        <v>753</v>
      </c>
      <c r="N168" s="1" t="s">
        <v>779</v>
      </c>
      <c r="O168" s="1" t="s">
        <v>788</v>
      </c>
      <c r="P168" s="1" t="s">
        <v>753</v>
      </c>
      <c r="Q168" s="1" t="s">
        <v>753</v>
      </c>
      <c r="R168" s="1" t="s">
        <v>753</v>
      </c>
      <c r="S168" s="1"/>
      <c r="T168" s="1" t="s">
        <v>784</v>
      </c>
      <c r="U168" s="1">
        <v>5.13</v>
      </c>
      <c r="V168" s="1">
        <v>5.78</v>
      </c>
      <c r="W168" s="1" t="s">
        <v>753</v>
      </c>
      <c r="X168" s="1" t="s">
        <v>753</v>
      </c>
      <c r="Y168" s="1" t="s">
        <v>753</v>
      </c>
      <c r="Z168" s="1" t="s">
        <v>753</v>
      </c>
      <c r="AA168" s="1" t="s">
        <v>773</v>
      </c>
      <c r="AB168" s="1" t="s">
        <v>773</v>
      </c>
      <c r="AC168" s="1" t="s">
        <v>753</v>
      </c>
      <c r="AD168" s="1" t="s">
        <v>773</v>
      </c>
      <c r="AE168" s="1"/>
      <c r="AF168"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68" t="s">
        <v>951</v>
      </c>
    </row>
    <row r="169" spans="1:33" ht="58" hidden="1" x14ac:dyDescent="0.35">
      <c r="A169" s="1" t="s">
        <v>353</v>
      </c>
      <c r="B169" s="7" t="s">
        <v>354</v>
      </c>
      <c r="C169" t="s">
        <v>268</v>
      </c>
      <c r="E169" s="1" t="b">
        <v>0</v>
      </c>
      <c r="J169" s="1"/>
      <c r="K169" s="1"/>
      <c r="L169" s="1" t="b">
        <f>IF(OR(Table1[[#This Row],[Does not regard DAIC-WOZ]]=TRUE,Table1[[#This Row],[Does not use MAE]]=TRUE,Table1[[#This Row],[Does not introduce new model]]=TRUE,Table1[[#This Row],[Not in English]]=TRUE,Table1[[#This Row],[Not retrieved]]=TRUE),TRUE,FALSE)</f>
        <v>0</v>
      </c>
      <c r="M169" s="1" t="s">
        <v>753</v>
      </c>
      <c r="N169" s="1" t="s">
        <v>881</v>
      </c>
      <c r="O169" s="1" t="s">
        <v>753</v>
      </c>
      <c r="P169" s="1" t="s">
        <v>753</v>
      </c>
      <c r="Q169" s="1" t="s">
        <v>753</v>
      </c>
      <c r="R169" s="1" t="s">
        <v>753</v>
      </c>
      <c r="S169" s="1"/>
      <c r="T169" s="1" t="s">
        <v>770</v>
      </c>
      <c r="U169" s="1">
        <v>0.19500000000000001</v>
      </c>
      <c r="V169" s="1">
        <v>0.28199999999999997</v>
      </c>
      <c r="W169" s="1">
        <v>0.64200000000000002</v>
      </c>
      <c r="X169" s="1" t="s">
        <v>753</v>
      </c>
      <c r="Y169" s="1" t="s">
        <v>753</v>
      </c>
      <c r="Z169" s="1" t="s">
        <v>753</v>
      </c>
      <c r="AA169" s="1" t="s">
        <v>773</v>
      </c>
      <c r="AB169" s="1" t="s">
        <v>773</v>
      </c>
      <c r="AC169" s="1" t="s">
        <v>753</v>
      </c>
      <c r="AD169" s="1" t="s">
        <v>753</v>
      </c>
      <c r="AE169" s="1"/>
      <c r="AF169"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69" t="s">
        <v>882</v>
      </c>
    </row>
    <row r="170" spans="1:33" ht="43.5" hidden="1" x14ac:dyDescent="0.35">
      <c r="A170" s="1" t="s">
        <v>355</v>
      </c>
      <c r="B170" s="7" t="s">
        <v>356</v>
      </c>
      <c r="C170" t="s">
        <v>268</v>
      </c>
      <c r="E170" s="1" t="b">
        <v>0</v>
      </c>
      <c r="J170" s="1"/>
      <c r="K170" s="1"/>
      <c r="L170" s="1" t="b">
        <f>IF(OR(Table1[[#This Row],[Does not regard DAIC-WOZ]]=TRUE,Table1[[#This Row],[Does not use MAE]]=TRUE,Table1[[#This Row],[Does not introduce new model]]=TRUE,Table1[[#This Row],[Not in English]]=TRUE,Table1[[#This Row],[Not retrieved]]=TRUE),TRUE,FALSE)</f>
        <v>0</v>
      </c>
      <c r="M170" s="1" t="s">
        <v>884</v>
      </c>
      <c r="N170" s="1" t="s">
        <v>779</v>
      </c>
      <c r="O170" s="1" t="s">
        <v>753</v>
      </c>
      <c r="P170" s="1" t="s">
        <v>883</v>
      </c>
      <c r="Q170" s="1" t="s">
        <v>753</v>
      </c>
      <c r="R170" s="1" t="s">
        <v>787</v>
      </c>
      <c r="S170" s="1"/>
      <c r="T170" s="1" t="s">
        <v>824</v>
      </c>
      <c r="U170" s="1">
        <v>3.75</v>
      </c>
      <c r="V170" s="1">
        <v>5.44</v>
      </c>
      <c r="W170" s="1" t="s">
        <v>753</v>
      </c>
      <c r="X170" s="1" t="s">
        <v>753</v>
      </c>
      <c r="Y170" s="1" t="s">
        <v>753</v>
      </c>
      <c r="Z170" s="1" t="s">
        <v>753</v>
      </c>
      <c r="AA170" s="1" t="s">
        <v>778</v>
      </c>
      <c r="AB170" s="1" t="s">
        <v>773</v>
      </c>
      <c r="AC170" s="1" t="s">
        <v>773</v>
      </c>
      <c r="AD170" s="1" t="s">
        <v>773</v>
      </c>
      <c r="AE170" s="1"/>
      <c r="AF170"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70" t="s">
        <v>885</v>
      </c>
    </row>
    <row r="171" spans="1:33" ht="43.5" hidden="1" x14ac:dyDescent="0.35">
      <c r="A171" s="1" t="s">
        <v>357</v>
      </c>
      <c r="B171" s="7" t="s">
        <v>358</v>
      </c>
      <c r="C171" t="s">
        <v>268</v>
      </c>
      <c r="E171" s="1" t="b">
        <v>0</v>
      </c>
      <c r="J171" s="1"/>
      <c r="K171" s="1"/>
      <c r="L171" s="1" t="b">
        <f>IF(OR(Table1[[#This Row],[Does not regard DAIC-WOZ]]=TRUE,Table1[[#This Row],[Does not use MAE]]=TRUE,Table1[[#This Row],[Does not introduce new model]]=TRUE,Table1[[#This Row],[Not in English]]=TRUE,Table1[[#This Row],[Not retrieved]]=TRUE),TRUE,FALSE)</f>
        <v>0</v>
      </c>
      <c r="M171" s="1" t="s">
        <v>753</v>
      </c>
      <c r="N171" s="1" t="s">
        <v>779</v>
      </c>
      <c r="O171" s="1" t="s">
        <v>753</v>
      </c>
      <c r="P171" s="1" t="s">
        <v>886</v>
      </c>
      <c r="Q171" s="1" t="s">
        <v>753</v>
      </c>
      <c r="R171" s="1" t="s">
        <v>787</v>
      </c>
      <c r="S171" s="1"/>
      <c r="T171" s="1" t="s">
        <v>784</v>
      </c>
      <c r="U171" s="1" t="s">
        <v>753</v>
      </c>
      <c r="V171" s="1" t="s">
        <v>753</v>
      </c>
      <c r="W171" s="1" t="s">
        <v>753</v>
      </c>
      <c r="X171" s="1" t="s">
        <v>753</v>
      </c>
      <c r="Y171" s="1" t="s">
        <v>753</v>
      </c>
      <c r="Z171" s="1" t="s">
        <v>753</v>
      </c>
      <c r="AA171" s="1" t="s">
        <v>773</v>
      </c>
      <c r="AB171" s="1" t="s">
        <v>773</v>
      </c>
      <c r="AC171" s="1" t="s">
        <v>753</v>
      </c>
      <c r="AD171" s="1" t="s">
        <v>773</v>
      </c>
      <c r="AE171" s="1"/>
      <c r="AF171"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71" t="s">
        <v>887</v>
      </c>
    </row>
    <row r="172" spans="1:33" ht="43.5" hidden="1" x14ac:dyDescent="0.35">
      <c r="A172" s="1" t="s">
        <v>359</v>
      </c>
      <c r="B172" s="7" t="s">
        <v>360</v>
      </c>
      <c r="C172" t="s">
        <v>268</v>
      </c>
      <c r="E172" s="1" t="b">
        <v>1</v>
      </c>
      <c r="J172" s="1"/>
      <c r="K172" s="1"/>
      <c r="L172" s="1" t="b">
        <f>IF(OR(Table1[[#This Row],[Does not regard DAIC-WOZ]]=TRUE,Table1[[#This Row],[Does not use MAE]]=TRUE,Table1[[#This Row],[Does not introduce new model]]=TRUE,Table1[[#This Row],[Not in English]]=TRUE,Table1[[#This Row],[Not retrieved]]=TRUE),TRUE,FALSE)</f>
        <v>0</v>
      </c>
      <c r="M172" s="1"/>
      <c r="N172" s="1"/>
      <c r="O172" s="1"/>
      <c r="P172" s="1"/>
      <c r="Q172" s="1"/>
      <c r="R172" s="1"/>
      <c r="S172" s="1"/>
      <c r="T172" s="1"/>
      <c r="U172" s="1"/>
      <c r="V172" s="1"/>
      <c r="W172" s="1"/>
      <c r="X172" s="1"/>
      <c r="Y172" s="1"/>
      <c r="Z172" s="1"/>
      <c r="AA172" s="1"/>
      <c r="AB172" s="1"/>
      <c r="AC172" s="1"/>
      <c r="AD172" s="1"/>
      <c r="AE172" s="1"/>
      <c r="AF17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72" s="1"/>
    </row>
    <row r="173" spans="1:33" ht="72.5" hidden="1" x14ac:dyDescent="0.35">
      <c r="A173" s="1" t="s">
        <v>361</v>
      </c>
      <c r="B173" s="7" t="s">
        <v>362</v>
      </c>
      <c r="C173" t="s">
        <v>268</v>
      </c>
      <c r="E173" s="1" t="b">
        <v>0</v>
      </c>
      <c r="J173" s="1"/>
      <c r="K173" s="1"/>
      <c r="L173" s="1" t="b">
        <f>IF(OR(Table1[[#This Row],[Does not regard DAIC-WOZ]]=TRUE,Table1[[#This Row],[Does not use MAE]]=TRUE,Table1[[#This Row],[Does not introduce new model]]=TRUE,Table1[[#This Row],[Not in English]]=TRUE,Table1[[#This Row],[Not retrieved]]=TRUE),TRUE,FALSE)</f>
        <v>0</v>
      </c>
      <c r="M173" s="1" t="s">
        <v>888</v>
      </c>
      <c r="N173" s="1" t="s">
        <v>779</v>
      </c>
      <c r="O173" s="1" t="s">
        <v>788</v>
      </c>
      <c r="P173" s="1" t="s">
        <v>753</v>
      </c>
      <c r="Q173" s="1" t="s">
        <v>753</v>
      </c>
      <c r="R173" s="1" t="s">
        <v>753</v>
      </c>
      <c r="S173" s="1"/>
      <c r="T173" s="1" t="s">
        <v>784</v>
      </c>
      <c r="U173" s="1">
        <v>3.12</v>
      </c>
      <c r="V173" s="1">
        <v>3.78</v>
      </c>
      <c r="W173" s="1" t="s">
        <v>753</v>
      </c>
      <c r="X173" s="1" t="s">
        <v>753</v>
      </c>
      <c r="Y173" s="1" t="s">
        <v>753</v>
      </c>
      <c r="Z173" s="1" t="s">
        <v>753</v>
      </c>
      <c r="AA173" s="1" t="s">
        <v>773</v>
      </c>
      <c r="AB173" s="1" t="s">
        <v>773</v>
      </c>
      <c r="AC173" s="1" t="s">
        <v>778</v>
      </c>
      <c r="AD173" s="1" t="s">
        <v>773</v>
      </c>
      <c r="AE173" s="1"/>
      <c r="AF173"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73" t="s">
        <v>889</v>
      </c>
    </row>
    <row r="174" spans="1:33" ht="29" hidden="1" x14ac:dyDescent="0.35">
      <c r="A174" s="1" t="s">
        <v>363</v>
      </c>
      <c r="B174" s="7" t="s">
        <v>364</v>
      </c>
      <c r="C174" t="s">
        <v>268</v>
      </c>
      <c r="E174" s="1" t="b">
        <v>1</v>
      </c>
      <c r="J174" s="1"/>
      <c r="K174" s="1"/>
      <c r="L174" s="1" t="b">
        <f>IF(OR(Table1[[#This Row],[Does not regard DAIC-WOZ]]=TRUE,Table1[[#This Row],[Does not use MAE]]=TRUE,Table1[[#This Row],[Does not introduce new model]]=TRUE,Table1[[#This Row],[Not in English]]=TRUE,Table1[[#This Row],[Not retrieved]]=TRUE),TRUE,FALSE)</f>
        <v>0</v>
      </c>
      <c r="M174" s="1"/>
      <c r="N174" s="1"/>
      <c r="O174" s="1"/>
      <c r="P174" s="1"/>
      <c r="Q174" s="1"/>
      <c r="R174" s="1"/>
      <c r="S174" s="1"/>
      <c r="T174" s="1"/>
      <c r="U174" s="1"/>
      <c r="V174" s="1"/>
      <c r="W174" s="1"/>
      <c r="X174" s="1"/>
      <c r="Y174" s="1"/>
      <c r="Z174" s="1"/>
      <c r="AA174" s="1"/>
      <c r="AB174" s="1"/>
      <c r="AC174" s="1"/>
      <c r="AD174" s="1"/>
      <c r="AE174" s="1"/>
      <c r="AF17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74" s="1"/>
    </row>
    <row r="175" spans="1:33" ht="72.5" hidden="1" x14ac:dyDescent="0.35">
      <c r="A175" s="1" t="s">
        <v>365</v>
      </c>
      <c r="B175" s="7" t="s">
        <v>366</v>
      </c>
      <c r="C175" t="s">
        <v>268</v>
      </c>
      <c r="E175" s="1" t="b">
        <v>0</v>
      </c>
      <c r="J175" s="1"/>
      <c r="K175" s="1"/>
      <c r="L175" s="1" t="b">
        <f>IF(OR(Table1[[#This Row],[Does not regard DAIC-WOZ]]=TRUE,Table1[[#This Row],[Does not use MAE]]=TRUE,Table1[[#This Row],[Does not introduce new model]]=TRUE,Table1[[#This Row],[Not in English]]=TRUE,Table1[[#This Row],[Not retrieved]]=TRUE),TRUE,FALSE)</f>
        <v>0</v>
      </c>
      <c r="M175" s="1" t="s">
        <v>949</v>
      </c>
      <c r="N175" s="1" t="s">
        <v>779</v>
      </c>
      <c r="O175" s="1" t="s">
        <v>788</v>
      </c>
      <c r="P175" s="1" t="s">
        <v>753</v>
      </c>
      <c r="Q175" s="1" t="s">
        <v>777</v>
      </c>
      <c r="R175" s="1" t="s">
        <v>777</v>
      </c>
      <c r="S175" s="1"/>
      <c r="T175" s="1" t="s">
        <v>824</v>
      </c>
      <c r="U175" s="1">
        <v>3</v>
      </c>
      <c r="V175" s="1">
        <v>3.95</v>
      </c>
      <c r="W175" s="1" t="s">
        <v>753</v>
      </c>
      <c r="X175" s="1" t="s">
        <v>753</v>
      </c>
      <c r="Y175" s="1" t="s">
        <v>753</v>
      </c>
      <c r="Z175" s="1" t="s">
        <v>753</v>
      </c>
      <c r="AA175" s="1" t="s">
        <v>773</v>
      </c>
      <c r="AB175" s="1" t="s">
        <v>773</v>
      </c>
      <c r="AC175" s="1" t="s">
        <v>778</v>
      </c>
      <c r="AD175" s="1" t="s">
        <v>773</v>
      </c>
      <c r="AE175" s="1"/>
      <c r="AF175"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75" t="s">
        <v>950</v>
      </c>
    </row>
    <row r="176" spans="1:33" ht="43.5" hidden="1" x14ac:dyDescent="0.35">
      <c r="A176" s="1" t="s">
        <v>367</v>
      </c>
      <c r="B176" s="7" t="s">
        <v>368</v>
      </c>
      <c r="C176" t="s">
        <v>268</v>
      </c>
      <c r="E176" s="1" t="b">
        <v>0</v>
      </c>
      <c r="J176" s="1"/>
      <c r="K176" s="1"/>
      <c r="L176" s="1" t="b">
        <f>IF(OR(Table1[[#This Row],[Does not regard DAIC-WOZ]]=TRUE,Table1[[#This Row],[Does not use MAE]]=TRUE,Table1[[#This Row],[Does not introduce new model]]=TRUE,Table1[[#This Row],[Not in English]]=TRUE,Table1[[#This Row],[Not retrieved]]=TRUE),TRUE,FALSE)</f>
        <v>0</v>
      </c>
      <c r="M176" s="1" t="s">
        <v>753</v>
      </c>
      <c r="N176" s="1" t="s">
        <v>779</v>
      </c>
      <c r="O176" s="1" t="s">
        <v>932</v>
      </c>
      <c r="P176" s="1" t="s">
        <v>947</v>
      </c>
      <c r="Q176" s="1" t="s">
        <v>753</v>
      </c>
      <c r="R176" s="1" t="s">
        <v>753</v>
      </c>
      <c r="S176" s="1"/>
      <c r="T176" s="1" t="s">
        <v>848</v>
      </c>
      <c r="U176" s="1" t="s">
        <v>753</v>
      </c>
      <c r="V176" s="1" t="s">
        <v>753</v>
      </c>
      <c r="W176" s="1" t="s">
        <v>753</v>
      </c>
      <c r="X176" s="1">
        <v>3.53</v>
      </c>
      <c r="Y176" s="1">
        <v>4.76</v>
      </c>
      <c r="Z176" s="1" t="s">
        <v>753</v>
      </c>
      <c r="AA176" s="1" t="s">
        <v>773</v>
      </c>
      <c r="AB176" s="1" t="s">
        <v>773</v>
      </c>
      <c r="AC176" s="1" t="s">
        <v>753</v>
      </c>
      <c r="AD176" s="1" t="s">
        <v>773</v>
      </c>
      <c r="AE176" s="1"/>
      <c r="AF176"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76" t="s">
        <v>948</v>
      </c>
    </row>
    <row r="177" spans="1:33" hidden="1" x14ac:dyDescent="0.35">
      <c r="A177" s="1" t="s">
        <v>369</v>
      </c>
      <c r="B177" s="7" t="s">
        <v>370</v>
      </c>
      <c r="C177" t="s">
        <v>268</v>
      </c>
      <c r="E177" s="1" t="b">
        <v>0</v>
      </c>
      <c r="J177" s="1" t="b">
        <v>1</v>
      </c>
      <c r="K177" s="1"/>
      <c r="L177" s="1" t="b">
        <f>IF(OR(Table1[[#This Row],[Does not regard DAIC-WOZ]]=TRUE,Table1[[#This Row],[Does not use MAE]]=TRUE,Table1[[#This Row],[Does not introduce new model]]=TRUE,Table1[[#This Row],[Not in English]]=TRUE,Table1[[#This Row],[Not retrieved]]=TRUE),TRUE,FALSE)</f>
        <v>1</v>
      </c>
      <c r="M177" s="1" t="s">
        <v>756</v>
      </c>
      <c r="N177" s="1"/>
      <c r="O177" s="1"/>
      <c r="P177" s="1"/>
      <c r="Q177" s="1"/>
      <c r="R177" s="1"/>
      <c r="S177" s="1"/>
      <c r="T177" s="1"/>
      <c r="U177" s="1"/>
      <c r="V177" s="1"/>
      <c r="W177" s="1"/>
      <c r="X177" s="1"/>
      <c r="Y177" s="1"/>
      <c r="Z177" s="1"/>
      <c r="AA177" s="1"/>
      <c r="AB177" s="1"/>
      <c r="AC177" s="1"/>
      <c r="AD177" s="1"/>
      <c r="AE177" s="1"/>
      <c r="AF17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78" spans="1:33" ht="29" hidden="1" x14ac:dyDescent="0.35">
      <c r="A178" s="1" t="s">
        <v>371</v>
      </c>
      <c r="B178" s="7" t="s">
        <v>372</v>
      </c>
      <c r="C178" t="s">
        <v>268</v>
      </c>
      <c r="E178" s="1" t="b">
        <v>1</v>
      </c>
      <c r="J178" s="1"/>
      <c r="K178" s="1"/>
      <c r="L178" s="1" t="b">
        <f>IF(OR(Table1[[#This Row],[Does not regard DAIC-WOZ]]=TRUE,Table1[[#This Row],[Does not use MAE]]=TRUE,Table1[[#This Row],[Does not introduce new model]]=TRUE,Table1[[#This Row],[Not in English]]=TRUE,Table1[[#This Row],[Not retrieved]]=TRUE),TRUE,FALSE)</f>
        <v>0</v>
      </c>
      <c r="M178" s="1"/>
      <c r="N178" s="1"/>
      <c r="O178" s="1"/>
      <c r="P178" s="1"/>
      <c r="Q178" s="1"/>
      <c r="R178" s="1"/>
      <c r="S178" s="1"/>
      <c r="T178" s="1"/>
      <c r="U178" s="1"/>
      <c r="V178" s="1"/>
      <c r="W178" s="1"/>
      <c r="X178" s="1"/>
      <c r="Y178" s="1"/>
      <c r="Z178" s="1"/>
      <c r="AA178" s="1"/>
      <c r="AB178" s="1"/>
      <c r="AC178" s="1"/>
      <c r="AD178" s="1"/>
      <c r="AE178" s="1"/>
      <c r="AF17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78" s="1"/>
    </row>
    <row r="179" spans="1:33" ht="29" hidden="1" x14ac:dyDescent="0.35">
      <c r="A179" s="1" t="s">
        <v>373</v>
      </c>
      <c r="B179" s="7" t="s">
        <v>374</v>
      </c>
      <c r="C179" t="s">
        <v>268</v>
      </c>
      <c r="E179" s="1" t="b">
        <v>1</v>
      </c>
      <c r="J179" s="1"/>
      <c r="K179" s="1"/>
      <c r="L179" s="1" t="b">
        <f>IF(OR(Table1[[#This Row],[Does not regard DAIC-WOZ]]=TRUE,Table1[[#This Row],[Does not use MAE]]=TRUE,Table1[[#This Row],[Does not introduce new model]]=TRUE,Table1[[#This Row],[Not in English]]=TRUE,Table1[[#This Row],[Not retrieved]]=TRUE),TRUE,FALSE)</f>
        <v>0</v>
      </c>
      <c r="M179" s="1"/>
      <c r="N179" s="1"/>
      <c r="O179" s="1"/>
      <c r="P179" s="1"/>
      <c r="Q179" s="1"/>
      <c r="R179" s="1"/>
      <c r="S179" s="1"/>
      <c r="T179" s="1"/>
      <c r="U179" s="1"/>
      <c r="V179" s="1"/>
      <c r="W179" s="1"/>
      <c r="X179" s="1"/>
      <c r="Y179" s="1"/>
      <c r="Z179" s="1"/>
      <c r="AA179" s="1"/>
      <c r="AB179" s="1"/>
      <c r="AC179" s="1"/>
      <c r="AD179" s="1"/>
      <c r="AE179" s="1"/>
      <c r="AF17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79" s="1"/>
    </row>
    <row r="180" spans="1:33" ht="58" hidden="1" x14ac:dyDescent="0.35">
      <c r="A180" s="1" t="s">
        <v>375</v>
      </c>
      <c r="B180" s="7" t="s">
        <v>376</v>
      </c>
      <c r="C180" t="s">
        <v>268</v>
      </c>
      <c r="E180" s="1" t="b">
        <v>0</v>
      </c>
      <c r="J180" s="1"/>
      <c r="K180" s="1"/>
      <c r="L180" s="1" t="b">
        <f>IF(OR(Table1[[#This Row],[Does not regard DAIC-WOZ]]=TRUE,Table1[[#This Row],[Does not use MAE]]=TRUE,Table1[[#This Row],[Does not introduce new model]]=TRUE,Table1[[#This Row],[Not in English]]=TRUE,Table1[[#This Row],[Not retrieved]]=TRUE),TRUE,FALSE)</f>
        <v>0</v>
      </c>
      <c r="M180" s="1" t="s">
        <v>944</v>
      </c>
      <c r="N180" s="1" t="s">
        <v>945</v>
      </c>
      <c r="O180" s="1" t="s">
        <v>788</v>
      </c>
      <c r="P180" s="1" t="s">
        <v>928</v>
      </c>
      <c r="Q180" s="1" t="s">
        <v>753</v>
      </c>
      <c r="R180" s="1" t="s">
        <v>753</v>
      </c>
      <c r="S180" s="1"/>
      <c r="T180" s="1" t="s">
        <v>848</v>
      </c>
      <c r="U180" s="1" t="s">
        <v>753</v>
      </c>
      <c r="V180" s="1" t="s">
        <v>753</v>
      </c>
      <c r="W180" s="1" t="s">
        <v>753</v>
      </c>
      <c r="X180" s="1">
        <v>3.87</v>
      </c>
      <c r="Y180" s="1">
        <v>4.9400000000000004</v>
      </c>
      <c r="Z180" s="1" t="s">
        <v>753</v>
      </c>
      <c r="AA180" s="1" t="s">
        <v>773</v>
      </c>
      <c r="AB180" s="1" t="s">
        <v>773</v>
      </c>
      <c r="AC180" s="1" t="s">
        <v>773</v>
      </c>
      <c r="AD180" s="1" t="s">
        <v>773</v>
      </c>
      <c r="AE180" s="1"/>
      <c r="AF180"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80" t="s">
        <v>946</v>
      </c>
    </row>
    <row r="181" spans="1:33" ht="29" hidden="1" x14ac:dyDescent="0.35">
      <c r="A181" s="1" t="s">
        <v>377</v>
      </c>
      <c r="B181" s="7" t="s">
        <v>378</v>
      </c>
      <c r="C181" t="s">
        <v>268</v>
      </c>
      <c r="E181" s="1" t="b">
        <v>0</v>
      </c>
      <c r="I181" s="1" t="b">
        <v>1</v>
      </c>
      <c r="J181" s="1"/>
      <c r="K181" s="1"/>
      <c r="L181" s="1" t="b">
        <f>IF(OR(Table1[[#This Row],[Does not regard DAIC-WOZ]]=TRUE,Table1[[#This Row],[Does not use MAE]]=TRUE,Table1[[#This Row],[Does not introduce new model]]=TRUE,Table1[[#This Row],[Not in English]]=TRUE,Table1[[#This Row],[Not retrieved]]=TRUE),TRUE,FALSE)</f>
        <v>1</v>
      </c>
      <c r="M181" s="1"/>
      <c r="N181" s="1"/>
      <c r="O181" s="1"/>
      <c r="P181" s="1"/>
      <c r="Q181" s="1"/>
      <c r="R181" s="1"/>
      <c r="S181" s="1"/>
      <c r="T181" s="1"/>
      <c r="U181" s="1"/>
      <c r="V181" s="1"/>
      <c r="W181" s="1"/>
      <c r="X181" s="1"/>
      <c r="Y181" s="1"/>
      <c r="Z181" s="1"/>
      <c r="AA181" s="1"/>
      <c r="AB181" s="1"/>
      <c r="AC181" s="1"/>
      <c r="AD181" s="1"/>
      <c r="AE181" s="1"/>
      <c r="AF18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82" spans="1:33" hidden="1" x14ac:dyDescent="0.35">
      <c r="A182" s="1" t="s">
        <v>379</v>
      </c>
      <c r="B182" s="7" t="s">
        <v>380</v>
      </c>
      <c r="C182" t="s">
        <v>268</v>
      </c>
      <c r="E182" s="1" t="b">
        <v>1</v>
      </c>
      <c r="J182" s="1"/>
      <c r="K182" s="1"/>
      <c r="L182" s="1" t="b">
        <f>IF(OR(Table1[[#This Row],[Does not regard DAIC-WOZ]]=TRUE,Table1[[#This Row],[Does not use MAE]]=TRUE,Table1[[#This Row],[Does not introduce new model]]=TRUE,Table1[[#This Row],[Not in English]]=TRUE,Table1[[#This Row],[Not retrieved]]=TRUE),TRUE,FALSE)</f>
        <v>0</v>
      </c>
      <c r="M182" s="1"/>
      <c r="N182" s="1"/>
      <c r="O182" s="1"/>
      <c r="P182" s="1"/>
      <c r="Q182" s="1"/>
      <c r="R182" s="1"/>
      <c r="S182" s="1"/>
      <c r="T182" s="1"/>
      <c r="U182" s="1"/>
      <c r="V182" s="1"/>
      <c r="W182" s="1"/>
      <c r="X182" s="1"/>
      <c r="Y182" s="1"/>
      <c r="Z182" s="1"/>
      <c r="AA182" s="1"/>
      <c r="AB182" s="1"/>
      <c r="AC182" s="1"/>
      <c r="AD182" s="1"/>
      <c r="AE182" s="1"/>
      <c r="AF18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82" s="1"/>
    </row>
    <row r="183" spans="1:33" ht="29" hidden="1" x14ac:dyDescent="0.35">
      <c r="A183" s="1" t="s">
        <v>381</v>
      </c>
      <c r="B183" s="7" t="s">
        <v>382</v>
      </c>
      <c r="C183" t="s">
        <v>268</v>
      </c>
      <c r="E183" s="1" t="b">
        <v>1</v>
      </c>
      <c r="J183" s="1"/>
      <c r="K183" s="1"/>
      <c r="L183" s="1" t="b">
        <f>IF(OR(Table1[[#This Row],[Does not regard DAIC-WOZ]]=TRUE,Table1[[#This Row],[Does not use MAE]]=TRUE,Table1[[#This Row],[Does not introduce new model]]=TRUE,Table1[[#This Row],[Not in English]]=TRUE,Table1[[#This Row],[Not retrieved]]=TRUE),TRUE,FALSE)</f>
        <v>0</v>
      </c>
      <c r="M183" s="1"/>
      <c r="N183" s="1"/>
      <c r="O183" s="1"/>
      <c r="P183" s="1"/>
      <c r="Q183" s="1"/>
      <c r="R183" s="1"/>
      <c r="S183" s="1"/>
      <c r="T183" s="1"/>
      <c r="U183" s="1"/>
      <c r="V183" s="1"/>
      <c r="W183" s="1"/>
      <c r="X183" s="1"/>
      <c r="Y183" s="1"/>
      <c r="Z183" s="1"/>
      <c r="AA183" s="1"/>
      <c r="AB183" s="1"/>
      <c r="AC183" s="1"/>
      <c r="AD183" s="1"/>
      <c r="AE183" s="1"/>
      <c r="AF18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83" s="1"/>
    </row>
    <row r="184" spans="1:33" ht="29" hidden="1" x14ac:dyDescent="0.35">
      <c r="A184" s="1" t="s">
        <v>383</v>
      </c>
      <c r="B184" s="7" t="s">
        <v>384</v>
      </c>
      <c r="C184" t="s">
        <v>268</v>
      </c>
      <c r="E184" s="1" t="b">
        <v>1</v>
      </c>
      <c r="J184" s="1"/>
      <c r="K184" s="1"/>
      <c r="L184" s="1" t="b">
        <f>IF(OR(Table1[[#This Row],[Does not regard DAIC-WOZ]]=TRUE,Table1[[#This Row],[Does not use MAE]]=TRUE,Table1[[#This Row],[Does not introduce new model]]=TRUE,Table1[[#This Row],[Not in English]]=TRUE,Table1[[#This Row],[Not retrieved]]=TRUE),TRUE,FALSE)</f>
        <v>0</v>
      </c>
      <c r="M184" s="1"/>
      <c r="N184" s="1"/>
      <c r="O184" s="1"/>
      <c r="P184" s="1"/>
      <c r="Q184" s="1"/>
      <c r="R184" s="1"/>
      <c r="S184" s="1"/>
      <c r="T184" s="1"/>
      <c r="U184" s="1"/>
      <c r="V184" s="1"/>
      <c r="W184" s="1"/>
      <c r="X184" s="1"/>
      <c r="Y184" s="1"/>
      <c r="Z184" s="1"/>
      <c r="AA184" s="1"/>
      <c r="AB184" s="1"/>
      <c r="AC184" s="1"/>
      <c r="AD184" s="1"/>
      <c r="AE184" s="1"/>
      <c r="AF18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84" s="1"/>
    </row>
    <row r="185" spans="1:33" ht="43.5" hidden="1" x14ac:dyDescent="0.35">
      <c r="A185" s="1" t="s">
        <v>385</v>
      </c>
      <c r="B185" s="7" t="s">
        <v>386</v>
      </c>
      <c r="C185" t="s">
        <v>268</v>
      </c>
      <c r="E185" s="1" t="b">
        <v>0</v>
      </c>
      <c r="I185" s="1" t="b">
        <v>1</v>
      </c>
      <c r="J185" s="1"/>
      <c r="K185" s="1"/>
      <c r="L185" s="1" t="b">
        <f>IF(OR(Table1[[#This Row],[Does not regard DAIC-WOZ]]=TRUE,Table1[[#This Row],[Does not use MAE]]=TRUE,Table1[[#This Row],[Does not introduce new model]]=TRUE,Table1[[#This Row],[Not in English]]=TRUE,Table1[[#This Row],[Not retrieved]]=TRUE),TRUE,FALSE)</f>
        <v>1</v>
      </c>
      <c r="M185" s="1"/>
      <c r="N185" s="1"/>
      <c r="O185" s="1"/>
      <c r="P185" s="1"/>
      <c r="Q185" s="1"/>
      <c r="R185" s="1"/>
      <c r="S185" s="1"/>
      <c r="T185" s="1"/>
      <c r="U185" s="1"/>
      <c r="V185" s="1"/>
      <c r="W185" s="1"/>
      <c r="X185" s="1"/>
      <c r="Y185" s="1"/>
      <c r="Z185" s="1"/>
      <c r="AA185" s="1"/>
      <c r="AB185" s="1"/>
      <c r="AC185" s="1"/>
      <c r="AD185" s="1"/>
      <c r="AE185" s="1"/>
      <c r="AF18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186" spans="1:33" ht="29" hidden="1" x14ac:dyDescent="0.35">
      <c r="A186" s="1" t="s">
        <v>387</v>
      </c>
      <c r="B186" s="7" t="s">
        <v>388</v>
      </c>
      <c r="C186" t="s">
        <v>268</v>
      </c>
      <c r="E186" s="1" t="b">
        <v>0</v>
      </c>
      <c r="J186" s="1"/>
      <c r="K186" s="1"/>
      <c r="L186" s="1" t="b">
        <f>IF(OR(Table1[[#This Row],[Does not regard DAIC-WOZ]]=TRUE,Table1[[#This Row],[Does not use MAE]]=TRUE,Table1[[#This Row],[Does not introduce new model]]=TRUE,Table1[[#This Row],[Not in English]]=TRUE,Table1[[#This Row],[Not retrieved]]=TRUE),TRUE,FALSE)</f>
        <v>0</v>
      </c>
      <c r="M186" s="1" t="s">
        <v>753</v>
      </c>
      <c r="N186" s="1" t="s">
        <v>753</v>
      </c>
      <c r="O186" s="1" t="s">
        <v>753</v>
      </c>
      <c r="P186" s="1" t="s">
        <v>942</v>
      </c>
      <c r="Q186" s="1" t="s">
        <v>753</v>
      </c>
      <c r="R186" s="1" t="s">
        <v>787</v>
      </c>
      <c r="S186" s="1"/>
      <c r="T186" s="1" t="s">
        <v>784</v>
      </c>
      <c r="U186" s="1" t="s">
        <v>753</v>
      </c>
      <c r="V186" s="1" t="s">
        <v>753</v>
      </c>
      <c r="W186" s="1" t="s">
        <v>753</v>
      </c>
      <c r="X186" s="1" t="s">
        <v>753</v>
      </c>
      <c r="Y186" s="1" t="s">
        <v>753</v>
      </c>
      <c r="Z186" s="1" t="s">
        <v>753</v>
      </c>
      <c r="AA186" s="1" t="s">
        <v>773</v>
      </c>
      <c r="AB186" s="1" t="s">
        <v>773</v>
      </c>
      <c r="AC186" s="1" t="s">
        <v>753</v>
      </c>
      <c r="AD186" s="1" t="s">
        <v>753</v>
      </c>
      <c r="AE186" s="1"/>
      <c r="AF186"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86" t="s">
        <v>943</v>
      </c>
    </row>
    <row r="187" spans="1:33" ht="29" hidden="1" x14ac:dyDescent="0.35">
      <c r="A187" s="1" t="s">
        <v>389</v>
      </c>
      <c r="B187" s="7" t="s">
        <v>390</v>
      </c>
      <c r="C187" t="s">
        <v>268</v>
      </c>
      <c r="E187" s="1" t="b">
        <v>1</v>
      </c>
      <c r="J187" s="1"/>
      <c r="K187" s="1"/>
      <c r="L187" s="1" t="b">
        <f>IF(OR(Table1[[#This Row],[Does not regard DAIC-WOZ]]=TRUE,Table1[[#This Row],[Does not use MAE]]=TRUE,Table1[[#This Row],[Does not introduce new model]]=TRUE,Table1[[#This Row],[Not in English]]=TRUE,Table1[[#This Row],[Not retrieved]]=TRUE),TRUE,FALSE)</f>
        <v>0</v>
      </c>
      <c r="M187" s="1"/>
      <c r="N187" s="1"/>
      <c r="O187" s="1"/>
      <c r="P187" s="1"/>
      <c r="Q187" s="1"/>
      <c r="R187" s="1"/>
      <c r="S187" s="1"/>
      <c r="T187" s="1"/>
      <c r="U187" s="1"/>
      <c r="V187" s="1"/>
      <c r="W187" s="1"/>
      <c r="X187" s="1"/>
      <c r="Y187" s="1"/>
      <c r="Z187" s="1"/>
      <c r="AA187" s="1"/>
      <c r="AB187" s="1"/>
      <c r="AC187" s="1"/>
      <c r="AD187" s="1"/>
      <c r="AE187" s="1"/>
      <c r="AF18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87" s="1"/>
    </row>
    <row r="188" spans="1:33" ht="87" hidden="1" x14ac:dyDescent="0.35">
      <c r="A188" s="1" t="s">
        <v>391</v>
      </c>
      <c r="B188" s="7" t="s">
        <v>392</v>
      </c>
      <c r="C188" t="s">
        <v>268</v>
      </c>
      <c r="E188" s="1" t="b">
        <v>0</v>
      </c>
      <c r="J188" s="1"/>
      <c r="K188" s="1"/>
      <c r="L188" s="1" t="b">
        <f>IF(OR(Table1[[#This Row],[Does not regard DAIC-WOZ]]=TRUE,Table1[[#This Row],[Does not use MAE]]=TRUE,Table1[[#This Row],[Does not introduce new model]]=TRUE,Table1[[#This Row],[Not in English]]=TRUE,Table1[[#This Row],[Not retrieved]]=TRUE),TRUE,FALSE)</f>
        <v>0</v>
      </c>
      <c r="M188" s="1" t="s">
        <v>893</v>
      </c>
      <c r="N188" s="1" t="s">
        <v>753</v>
      </c>
      <c r="O188" s="1" t="s">
        <v>753</v>
      </c>
      <c r="P188" s="1" t="s">
        <v>753</v>
      </c>
      <c r="Q188" s="1" t="s">
        <v>753</v>
      </c>
      <c r="R188" s="1" t="s">
        <v>753</v>
      </c>
      <c r="S188" s="1"/>
      <c r="T188" s="1" t="s">
        <v>775</v>
      </c>
      <c r="U188" s="1" t="s">
        <v>753</v>
      </c>
      <c r="V188" s="1" t="s">
        <v>753</v>
      </c>
      <c r="W188" s="1" t="s">
        <v>753</v>
      </c>
      <c r="X188" s="1" t="s">
        <v>753</v>
      </c>
      <c r="Y188" s="1" t="s">
        <v>753</v>
      </c>
      <c r="Z188" s="1" t="s">
        <v>753</v>
      </c>
      <c r="AA188" s="1" t="s">
        <v>773</v>
      </c>
      <c r="AB188" s="1" t="s">
        <v>773</v>
      </c>
      <c r="AC188" s="1" t="s">
        <v>753</v>
      </c>
      <c r="AD188" s="1" t="s">
        <v>753</v>
      </c>
      <c r="AE188" s="1"/>
      <c r="AF188"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88" s="12" t="s">
        <v>894</v>
      </c>
    </row>
    <row r="189" spans="1:33" ht="29" hidden="1" x14ac:dyDescent="0.35">
      <c r="A189" s="1" t="s">
        <v>393</v>
      </c>
      <c r="B189" s="7" t="s">
        <v>394</v>
      </c>
      <c r="C189" t="s">
        <v>268</v>
      </c>
      <c r="E189" s="1" t="b">
        <v>1</v>
      </c>
      <c r="J189" s="1"/>
      <c r="K189" s="1"/>
      <c r="L189" s="1" t="b">
        <f>IF(OR(Table1[[#This Row],[Does not regard DAIC-WOZ]]=TRUE,Table1[[#This Row],[Does not use MAE]]=TRUE,Table1[[#This Row],[Does not introduce new model]]=TRUE,Table1[[#This Row],[Not in English]]=TRUE,Table1[[#This Row],[Not retrieved]]=TRUE),TRUE,FALSE)</f>
        <v>0</v>
      </c>
      <c r="M189" s="1"/>
      <c r="N189" s="1"/>
      <c r="O189" s="1"/>
      <c r="P189" s="1"/>
      <c r="Q189" s="1"/>
      <c r="R189" s="1"/>
      <c r="S189" s="1"/>
      <c r="T189" s="1"/>
      <c r="U189" s="1"/>
      <c r="V189" s="1"/>
      <c r="W189" s="1"/>
      <c r="X189" s="1"/>
      <c r="Y189" s="1"/>
      <c r="Z189" s="1"/>
      <c r="AA189" s="1"/>
      <c r="AB189" s="1"/>
      <c r="AC189" s="1"/>
      <c r="AD189" s="1"/>
      <c r="AE189" s="1"/>
      <c r="AF18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89" s="1"/>
    </row>
    <row r="190" spans="1:33" ht="29" hidden="1" x14ac:dyDescent="0.35">
      <c r="A190" s="1" t="s">
        <v>395</v>
      </c>
      <c r="B190" s="7" t="s">
        <v>396</v>
      </c>
      <c r="C190" t="s">
        <v>268</v>
      </c>
      <c r="E190" s="1" t="b">
        <v>1</v>
      </c>
      <c r="J190" s="1"/>
      <c r="K190" s="1"/>
      <c r="L190" s="1" t="b">
        <f>IF(OR(Table1[[#This Row],[Does not regard DAIC-WOZ]]=TRUE,Table1[[#This Row],[Does not use MAE]]=TRUE,Table1[[#This Row],[Does not introduce new model]]=TRUE,Table1[[#This Row],[Not in English]]=TRUE,Table1[[#This Row],[Not retrieved]]=TRUE),TRUE,FALSE)</f>
        <v>0</v>
      </c>
      <c r="M190" s="1"/>
      <c r="N190" s="1"/>
      <c r="O190" s="1"/>
      <c r="P190" s="1"/>
      <c r="Q190" s="1"/>
      <c r="R190" s="1"/>
      <c r="S190" s="1"/>
      <c r="T190" s="1"/>
      <c r="U190" s="1"/>
      <c r="V190" s="1"/>
      <c r="W190" s="1"/>
      <c r="X190" s="1"/>
      <c r="Y190" s="1"/>
      <c r="Z190" s="1"/>
      <c r="AA190" s="1"/>
      <c r="AB190" s="1"/>
      <c r="AC190" s="1"/>
      <c r="AD190" s="1"/>
      <c r="AE190" s="1"/>
      <c r="AF19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90" s="1"/>
    </row>
    <row r="191" spans="1:33" ht="29" hidden="1" x14ac:dyDescent="0.35">
      <c r="A191" s="1" t="s">
        <v>397</v>
      </c>
      <c r="B191" s="7" t="s">
        <v>398</v>
      </c>
      <c r="C191" t="s">
        <v>268</v>
      </c>
      <c r="E191" s="1" t="b">
        <v>1</v>
      </c>
      <c r="J191" s="1"/>
      <c r="K191" s="1"/>
      <c r="L191" s="1" t="b">
        <f>IF(OR(Table1[[#This Row],[Does not regard DAIC-WOZ]]=TRUE,Table1[[#This Row],[Does not use MAE]]=TRUE,Table1[[#This Row],[Does not introduce new model]]=TRUE,Table1[[#This Row],[Not in English]]=TRUE,Table1[[#This Row],[Not retrieved]]=TRUE),TRUE,FALSE)</f>
        <v>0</v>
      </c>
      <c r="M191" s="1"/>
      <c r="N191" s="1"/>
      <c r="O191" s="1"/>
      <c r="P191" s="1"/>
      <c r="Q191" s="1"/>
      <c r="R191" s="1"/>
      <c r="S191" s="1"/>
      <c r="T191" s="1"/>
      <c r="U191" s="1"/>
      <c r="V191" s="1"/>
      <c r="W191" s="1"/>
      <c r="X191" s="1"/>
      <c r="Y191" s="1"/>
      <c r="Z191" s="1"/>
      <c r="AA191" s="1"/>
      <c r="AB191" s="1"/>
      <c r="AC191" s="1"/>
      <c r="AD191" s="1"/>
      <c r="AE191" s="1"/>
      <c r="AF19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91" s="1"/>
    </row>
    <row r="192" spans="1:33" ht="29" hidden="1" x14ac:dyDescent="0.35">
      <c r="A192" s="1" t="s">
        <v>399</v>
      </c>
      <c r="B192" s="7" t="s">
        <v>400</v>
      </c>
      <c r="C192" t="s">
        <v>268</v>
      </c>
      <c r="E192" s="1" t="b">
        <v>1</v>
      </c>
      <c r="J192" s="1"/>
      <c r="K192" s="1"/>
      <c r="L192" s="1" t="b">
        <f>IF(OR(Table1[[#This Row],[Does not regard DAIC-WOZ]]=TRUE,Table1[[#This Row],[Does not use MAE]]=TRUE,Table1[[#This Row],[Does not introduce new model]]=TRUE,Table1[[#This Row],[Not in English]]=TRUE,Table1[[#This Row],[Not retrieved]]=TRUE),TRUE,FALSE)</f>
        <v>0</v>
      </c>
      <c r="M192" s="1"/>
      <c r="N192" s="1"/>
      <c r="O192" s="1"/>
      <c r="P192" s="1"/>
      <c r="Q192" s="1"/>
      <c r="R192" s="1"/>
      <c r="S192" s="1"/>
      <c r="T192" s="1"/>
      <c r="U192" s="1"/>
      <c r="V192" s="1"/>
      <c r="W192" s="1"/>
      <c r="X192" s="1"/>
      <c r="Y192" s="1"/>
      <c r="Z192" s="1"/>
      <c r="AA192" s="1"/>
      <c r="AB192" s="1"/>
      <c r="AC192" s="1"/>
      <c r="AD192" s="1"/>
      <c r="AE192" s="1"/>
      <c r="AF19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92" s="1"/>
    </row>
    <row r="193" spans="1:33" hidden="1" x14ac:dyDescent="0.35">
      <c r="A193" s="1" t="s">
        <v>401</v>
      </c>
      <c r="B193" s="7" t="s">
        <v>402</v>
      </c>
      <c r="C193" t="s">
        <v>268</v>
      </c>
      <c r="E193" s="1" t="b">
        <v>1</v>
      </c>
      <c r="J193" s="1"/>
      <c r="K193" s="1"/>
      <c r="L193" s="1" t="b">
        <f>IF(OR(Table1[[#This Row],[Does not regard DAIC-WOZ]]=TRUE,Table1[[#This Row],[Does not use MAE]]=TRUE,Table1[[#This Row],[Does not introduce new model]]=TRUE,Table1[[#This Row],[Not in English]]=TRUE,Table1[[#This Row],[Not retrieved]]=TRUE),TRUE,FALSE)</f>
        <v>0</v>
      </c>
      <c r="M193" s="1"/>
      <c r="N193" s="1"/>
      <c r="O193" s="1"/>
      <c r="P193" s="1"/>
      <c r="Q193" s="1"/>
      <c r="R193" s="1"/>
      <c r="S193" s="1"/>
      <c r="T193" s="1"/>
      <c r="U193" s="1"/>
      <c r="V193" s="1"/>
      <c r="W193" s="1"/>
      <c r="X193" s="1"/>
      <c r="Y193" s="1"/>
      <c r="Z193" s="1"/>
      <c r="AA193" s="1"/>
      <c r="AB193" s="1"/>
      <c r="AC193" s="1"/>
      <c r="AD193" s="1"/>
      <c r="AE193" s="1"/>
      <c r="AF19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93" s="1"/>
    </row>
    <row r="194" spans="1:33" ht="29" hidden="1" x14ac:dyDescent="0.35">
      <c r="A194" s="1" t="s">
        <v>403</v>
      </c>
      <c r="B194" s="7" t="s">
        <v>404</v>
      </c>
      <c r="C194" t="s">
        <v>268</v>
      </c>
      <c r="E194" s="1" t="b">
        <v>0</v>
      </c>
      <c r="J194" s="1"/>
      <c r="K194" s="1"/>
      <c r="L194" s="1" t="b">
        <f>IF(OR(Table1[[#This Row],[Does not regard DAIC-WOZ]]=TRUE,Table1[[#This Row],[Does not use MAE]]=TRUE,Table1[[#This Row],[Does not introduce new model]]=TRUE,Table1[[#This Row],[Not in English]]=TRUE,Table1[[#This Row],[Not retrieved]]=TRUE),TRUE,FALSE)</f>
        <v>0</v>
      </c>
      <c r="M194" s="1" t="s">
        <v>941</v>
      </c>
      <c r="N194" s="1" t="s">
        <v>779</v>
      </c>
      <c r="O194" s="1" t="s">
        <v>788</v>
      </c>
      <c r="P194" s="1" t="s">
        <v>940</v>
      </c>
      <c r="Q194" s="1" t="s">
        <v>753</v>
      </c>
      <c r="R194" s="1" t="s">
        <v>753</v>
      </c>
      <c r="S194" s="1"/>
      <c r="T194" s="1" t="s">
        <v>775</v>
      </c>
      <c r="U194" s="1">
        <v>4.6100000000000003</v>
      </c>
      <c r="V194" s="1">
        <v>5.78</v>
      </c>
      <c r="W194" s="1" t="s">
        <v>753</v>
      </c>
      <c r="X194" s="1" t="s">
        <v>753</v>
      </c>
      <c r="Y194" s="1" t="s">
        <v>753</v>
      </c>
      <c r="Z194" s="1" t="s">
        <v>753</v>
      </c>
      <c r="AA194" s="1" t="s">
        <v>773</v>
      </c>
      <c r="AB194" s="1" t="s">
        <v>773</v>
      </c>
      <c r="AC194" s="1" t="s">
        <v>773</v>
      </c>
      <c r="AD194" s="1" t="s">
        <v>773</v>
      </c>
      <c r="AE194" s="1"/>
      <c r="AF194"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194" s="1"/>
    </row>
    <row r="195" spans="1:33" hidden="1" x14ac:dyDescent="0.35">
      <c r="A195" s="1" t="s">
        <v>405</v>
      </c>
      <c r="B195" s="7" t="s">
        <v>406</v>
      </c>
      <c r="C195" t="s">
        <v>268</v>
      </c>
      <c r="E195" s="1" t="b">
        <v>1</v>
      </c>
      <c r="J195" s="1"/>
      <c r="K195" s="1"/>
      <c r="L195" s="1" t="b">
        <f>IF(OR(Table1[[#This Row],[Does not regard DAIC-WOZ]]=TRUE,Table1[[#This Row],[Does not use MAE]]=TRUE,Table1[[#This Row],[Does not introduce new model]]=TRUE,Table1[[#This Row],[Not in English]]=TRUE,Table1[[#This Row],[Not retrieved]]=TRUE),TRUE,FALSE)</f>
        <v>0</v>
      </c>
      <c r="M195" s="1"/>
      <c r="N195" s="1"/>
      <c r="O195" s="1"/>
      <c r="P195" s="1"/>
      <c r="Q195" s="1"/>
      <c r="R195" s="1"/>
      <c r="S195" s="1"/>
      <c r="T195" s="1"/>
      <c r="U195" s="1"/>
      <c r="V195" s="1"/>
      <c r="W195" s="1"/>
      <c r="X195" s="1"/>
      <c r="Y195" s="1"/>
      <c r="Z195" s="1"/>
      <c r="AA195" s="1"/>
      <c r="AB195" s="1"/>
      <c r="AC195" s="1"/>
      <c r="AD195" s="1"/>
      <c r="AE195" s="1"/>
      <c r="AF19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95" s="1"/>
    </row>
    <row r="196" spans="1:33" ht="29" hidden="1" x14ac:dyDescent="0.35">
      <c r="A196" s="1" t="s">
        <v>407</v>
      </c>
      <c r="B196" s="7" t="s">
        <v>408</v>
      </c>
      <c r="C196" t="s">
        <v>268</v>
      </c>
      <c r="E196" s="1" t="b">
        <v>1</v>
      </c>
      <c r="J196" s="1"/>
      <c r="K196" s="1"/>
      <c r="L196" s="1" t="b">
        <f>IF(OR(Table1[[#This Row],[Does not regard DAIC-WOZ]]=TRUE,Table1[[#This Row],[Does not use MAE]]=TRUE,Table1[[#This Row],[Does not introduce new model]]=TRUE,Table1[[#This Row],[Not in English]]=TRUE,Table1[[#This Row],[Not retrieved]]=TRUE),TRUE,FALSE)</f>
        <v>0</v>
      </c>
      <c r="M196" s="1"/>
      <c r="N196" s="1"/>
      <c r="O196" s="1"/>
      <c r="P196" s="1"/>
      <c r="Q196" s="1"/>
      <c r="R196" s="1"/>
      <c r="S196" s="1"/>
      <c r="T196" s="1"/>
      <c r="U196" s="1"/>
      <c r="V196" s="1"/>
      <c r="W196" s="1"/>
      <c r="X196" s="1"/>
      <c r="Y196" s="1"/>
      <c r="Z196" s="1"/>
      <c r="AA196" s="1"/>
      <c r="AB196" s="1"/>
      <c r="AC196" s="1"/>
      <c r="AD196" s="1"/>
      <c r="AE196" s="1"/>
      <c r="AF19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96" s="1"/>
    </row>
    <row r="197" spans="1:33" ht="29" hidden="1" x14ac:dyDescent="0.35">
      <c r="A197" s="1" t="s">
        <v>409</v>
      </c>
      <c r="B197" s="7" t="s">
        <v>410</v>
      </c>
      <c r="C197" t="s">
        <v>268</v>
      </c>
      <c r="E197" s="1" t="b">
        <v>1</v>
      </c>
      <c r="J197" s="1"/>
      <c r="K197" s="1"/>
      <c r="L197" s="1" t="b">
        <f>IF(OR(Table1[[#This Row],[Does not regard DAIC-WOZ]]=TRUE,Table1[[#This Row],[Does not use MAE]]=TRUE,Table1[[#This Row],[Does not introduce new model]]=TRUE,Table1[[#This Row],[Not in English]]=TRUE,Table1[[#This Row],[Not retrieved]]=TRUE),TRUE,FALSE)</f>
        <v>0</v>
      </c>
      <c r="M197" s="1"/>
      <c r="N197" s="1"/>
      <c r="O197" s="1"/>
      <c r="P197" s="1"/>
      <c r="Q197" s="1"/>
      <c r="R197" s="1"/>
      <c r="S197" s="1"/>
      <c r="T197" s="1"/>
      <c r="U197" s="1"/>
      <c r="V197" s="1"/>
      <c r="W197" s="1"/>
      <c r="X197" s="1"/>
      <c r="Y197" s="1"/>
      <c r="Z197" s="1"/>
      <c r="AA197" s="1"/>
      <c r="AB197" s="1"/>
      <c r="AC197" s="1"/>
      <c r="AD197" s="1"/>
      <c r="AE197" s="1"/>
      <c r="AF19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97" s="1"/>
    </row>
    <row r="198" spans="1:33" ht="29" hidden="1" x14ac:dyDescent="0.35">
      <c r="A198" s="1" t="s">
        <v>411</v>
      </c>
      <c r="B198" s="7" t="s">
        <v>412</v>
      </c>
      <c r="C198" t="s">
        <v>268</v>
      </c>
      <c r="E198" s="1" t="b">
        <v>1</v>
      </c>
      <c r="J198" s="1"/>
      <c r="K198" s="1"/>
      <c r="L198" s="1" t="b">
        <f>IF(OR(Table1[[#This Row],[Does not regard DAIC-WOZ]]=TRUE,Table1[[#This Row],[Does not use MAE]]=TRUE,Table1[[#This Row],[Does not introduce new model]]=TRUE,Table1[[#This Row],[Not in English]]=TRUE,Table1[[#This Row],[Not retrieved]]=TRUE),TRUE,FALSE)</f>
        <v>0</v>
      </c>
      <c r="M198" s="1"/>
      <c r="N198" s="1"/>
      <c r="O198" s="1"/>
      <c r="P198" s="1"/>
      <c r="Q198" s="1"/>
      <c r="R198" s="1"/>
      <c r="S198" s="1"/>
      <c r="T198" s="1"/>
      <c r="U198" s="1"/>
      <c r="V198" s="1"/>
      <c r="W198" s="1"/>
      <c r="X198" s="1"/>
      <c r="Y198" s="1"/>
      <c r="Z198" s="1"/>
      <c r="AA198" s="1"/>
      <c r="AB198" s="1"/>
      <c r="AC198" s="1"/>
      <c r="AD198" s="1"/>
      <c r="AE198" s="1"/>
      <c r="AF19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98" s="1"/>
    </row>
    <row r="199" spans="1:33" ht="43.5" hidden="1" x14ac:dyDescent="0.35">
      <c r="A199" s="1" t="s">
        <v>413</v>
      </c>
      <c r="B199" s="7" t="s">
        <v>414</v>
      </c>
      <c r="C199" t="s">
        <v>268</v>
      </c>
      <c r="D199" s="1"/>
      <c r="E199" s="1" t="b">
        <v>0</v>
      </c>
      <c r="F199" s="1" t="s">
        <v>739</v>
      </c>
      <c r="G199" s="1" t="b">
        <v>1</v>
      </c>
      <c r="J199" s="1"/>
      <c r="K199" s="1"/>
      <c r="L199" s="1" t="b">
        <f>IF(OR(Table1[[#This Row],[Does not regard DAIC-WOZ]]=TRUE,Table1[[#This Row],[Does not use MAE]]=TRUE,Table1[[#This Row],[Does not introduce new model]]=TRUE,Table1[[#This Row],[Not in English]]=TRUE,Table1[[#This Row],[Not retrieved]]=TRUE),TRUE,FALSE)</f>
        <v>1</v>
      </c>
      <c r="M199" s="1"/>
      <c r="N199" s="1"/>
      <c r="O199" s="1"/>
      <c r="P199" s="1"/>
      <c r="Q199" s="1"/>
      <c r="R199" s="1"/>
      <c r="S199" s="1"/>
      <c r="T199" s="1"/>
      <c r="U199" s="1"/>
      <c r="V199" s="1"/>
      <c r="W199" s="1"/>
      <c r="X199" s="1"/>
      <c r="Y199" s="1"/>
      <c r="Z199" s="1"/>
      <c r="AA199" s="1"/>
      <c r="AB199" s="1"/>
      <c r="AC199" s="1"/>
      <c r="AD199" s="1"/>
      <c r="AE199" s="1"/>
      <c r="AF19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199" s="1"/>
    </row>
    <row r="200" spans="1:33" ht="29" hidden="1" x14ac:dyDescent="0.35">
      <c r="A200" s="1" t="s">
        <v>415</v>
      </c>
      <c r="B200" s="7" t="s">
        <v>416</v>
      </c>
      <c r="C200" t="s">
        <v>268</v>
      </c>
      <c r="E200" s="1" t="b">
        <v>1</v>
      </c>
      <c r="J200" s="1"/>
      <c r="K200" s="1"/>
      <c r="L200" s="1" t="b">
        <f>IF(OR(Table1[[#This Row],[Does not regard DAIC-WOZ]]=TRUE,Table1[[#This Row],[Does not use MAE]]=TRUE,Table1[[#This Row],[Does not introduce new model]]=TRUE,Table1[[#This Row],[Not in English]]=TRUE,Table1[[#This Row],[Not retrieved]]=TRUE),TRUE,FALSE)</f>
        <v>0</v>
      </c>
      <c r="M200" s="1"/>
      <c r="N200" s="1"/>
      <c r="O200" s="1"/>
      <c r="P200" s="1"/>
      <c r="Q200" s="1"/>
      <c r="R200" s="1"/>
      <c r="S200" s="1"/>
      <c r="T200" s="1"/>
      <c r="U200" s="1"/>
      <c r="V200" s="1"/>
      <c r="W200" s="1"/>
      <c r="X200" s="1"/>
      <c r="Y200" s="1"/>
      <c r="Z200" s="1"/>
      <c r="AA200" s="1"/>
      <c r="AB200" s="1"/>
      <c r="AC200" s="1"/>
      <c r="AD200" s="1"/>
      <c r="AE200" s="1"/>
      <c r="AF20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00" s="1"/>
    </row>
    <row r="201" spans="1:33" ht="29" hidden="1" x14ac:dyDescent="0.35">
      <c r="A201" s="1" t="s">
        <v>417</v>
      </c>
      <c r="B201" s="7" t="s">
        <v>418</v>
      </c>
      <c r="C201" t="s">
        <v>268</v>
      </c>
      <c r="E201" s="1" t="b">
        <v>1</v>
      </c>
      <c r="J201" s="1"/>
      <c r="K201" s="1"/>
      <c r="L201" s="1" t="b">
        <f>IF(OR(Table1[[#This Row],[Does not regard DAIC-WOZ]]=TRUE,Table1[[#This Row],[Does not use MAE]]=TRUE,Table1[[#This Row],[Does not introduce new model]]=TRUE,Table1[[#This Row],[Not in English]]=TRUE,Table1[[#This Row],[Not retrieved]]=TRUE),TRUE,FALSE)</f>
        <v>0</v>
      </c>
      <c r="M201" s="1"/>
      <c r="N201" s="1"/>
      <c r="O201" s="1"/>
      <c r="P201" s="1"/>
      <c r="Q201" s="1"/>
      <c r="R201" s="1"/>
      <c r="S201" s="1"/>
      <c r="T201" s="1"/>
      <c r="U201" s="1"/>
      <c r="V201" s="1"/>
      <c r="W201" s="1"/>
      <c r="X201" s="1"/>
      <c r="Y201" s="1"/>
      <c r="Z201" s="1"/>
      <c r="AA201" s="1"/>
      <c r="AB201" s="1"/>
      <c r="AC201" s="1"/>
      <c r="AD201" s="1"/>
      <c r="AE201" s="1"/>
      <c r="AF20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01" s="1"/>
    </row>
    <row r="202" spans="1:33" ht="29" hidden="1" x14ac:dyDescent="0.35">
      <c r="A202" s="1" t="s">
        <v>419</v>
      </c>
      <c r="B202" s="7" t="s">
        <v>420</v>
      </c>
      <c r="C202" t="s">
        <v>268</v>
      </c>
      <c r="E202" s="1" t="b">
        <v>1</v>
      </c>
      <c r="J202" s="1"/>
      <c r="K202" s="1"/>
      <c r="L202" s="1" t="b">
        <f>IF(OR(Table1[[#This Row],[Does not regard DAIC-WOZ]]=TRUE,Table1[[#This Row],[Does not use MAE]]=TRUE,Table1[[#This Row],[Does not introduce new model]]=TRUE,Table1[[#This Row],[Not in English]]=TRUE,Table1[[#This Row],[Not retrieved]]=TRUE),TRUE,FALSE)</f>
        <v>0</v>
      </c>
      <c r="M202" s="1"/>
      <c r="N202" s="1"/>
      <c r="O202" s="1"/>
      <c r="P202" s="1"/>
      <c r="Q202" s="1"/>
      <c r="R202" s="1"/>
      <c r="S202" s="1"/>
      <c r="T202" s="1"/>
      <c r="U202" s="1"/>
      <c r="V202" s="1"/>
      <c r="W202" s="1"/>
      <c r="X202" s="1"/>
      <c r="Y202" s="1"/>
      <c r="Z202" s="1"/>
      <c r="AA202" s="1"/>
      <c r="AB202" s="1"/>
      <c r="AC202" s="1"/>
      <c r="AD202" s="1"/>
      <c r="AE202" s="1"/>
      <c r="AF20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02" s="1"/>
    </row>
    <row r="203" spans="1:33" ht="29" hidden="1" x14ac:dyDescent="0.35">
      <c r="A203" s="1" t="s">
        <v>421</v>
      </c>
      <c r="B203" s="7" t="s">
        <v>422</v>
      </c>
      <c r="C203" t="s">
        <v>268</v>
      </c>
      <c r="E203" s="1" t="b">
        <v>1</v>
      </c>
      <c r="J203" s="1"/>
      <c r="K203" s="1"/>
      <c r="L203" s="1" t="b">
        <f>IF(OR(Table1[[#This Row],[Does not regard DAIC-WOZ]]=TRUE,Table1[[#This Row],[Does not use MAE]]=TRUE,Table1[[#This Row],[Does not introduce new model]]=TRUE,Table1[[#This Row],[Not in English]]=TRUE,Table1[[#This Row],[Not retrieved]]=TRUE),TRUE,FALSE)</f>
        <v>0</v>
      </c>
      <c r="M203" s="1"/>
      <c r="N203" s="1"/>
      <c r="O203" s="1"/>
      <c r="P203" s="1"/>
      <c r="Q203" s="1"/>
      <c r="R203" s="1"/>
      <c r="S203" s="1"/>
      <c r="T203" s="1"/>
      <c r="U203" s="1"/>
      <c r="V203" s="1"/>
      <c r="W203" s="1"/>
      <c r="X203" s="1"/>
      <c r="Y203" s="1"/>
      <c r="Z203" s="1"/>
      <c r="AA203" s="1"/>
      <c r="AB203" s="1"/>
      <c r="AC203" s="1"/>
      <c r="AD203" s="1"/>
      <c r="AE203" s="1"/>
      <c r="AF20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03" s="1"/>
    </row>
    <row r="204" spans="1:33" ht="29" hidden="1" x14ac:dyDescent="0.35">
      <c r="A204" s="1" t="s">
        <v>423</v>
      </c>
      <c r="B204" s="7" t="s">
        <v>424</v>
      </c>
      <c r="C204" t="s">
        <v>268</v>
      </c>
      <c r="E204" s="1" t="b">
        <v>1</v>
      </c>
      <c r="J204" s="1"/>
      <c r="K204" s="1"/>
      <c r="L204" s="1" t="b">
        <f>IF(OR(Table1[[#This Row],[Does not regard DAIC-WOZ]]=TRUE,Table1[[#This Row],[Does not use MAE]]=TRUE,Table1[[#This Row],[Does not introduce new model]]=TRUE,Table1[[#This Row],[Not in English]]=TRUE,Table1[[#This Row],[Not retrieved]]=TRUE),TRUE,FALSE)</f>
        <v>0</v>
      </c>
      <c r="M204" s="1"/>
      <c r="N204" s="1"/>
      <c r="O204" s="1"/>
      <c r="P204" s="1"/>
      <c r="Q204" s="1"/>
      <c r="R204" s="1"/>
      <c r="S204" s="1"/>
      <c r="T204" s="1"/>
      <c r="U204" s="1"/>
      <c r="V204" s="1"/>
      <c r="W204" s="1"/>
      <c r="X204" s="1"/>
      <c r="Y204" s="1"/>
      <c r="Z204" s="1"/>
      <c r="AA204" s="1"/>
      <c r="AB204" s="1"/>
      <c r="AC204" s="1"/>
      <c r="AD204" s="1"/>
      <c r="AE204" s="1"/>
      <c r="AF20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04" s="1"/>
    </row>
    <row r="205" spans="1:33" ht="29" hidden="1" x14ac:dyDescent="0.35">
      <c r="A205" s="1" t="s">
        <v>425</v>
      </c>
      <c r="B205" s="7" t="s">
        <v>426</v>
      </c>
      <c r="C205" t="s">
        <v>268</v>
      </c>
      <c r="E205" s="1" t="b">
        <v>1</v>
      </c>
      <c r="J205" s="1"/>
      <c r="K205" s="1"/>
      <c r="L205" s="1" t="b">
        <f>IF(OR(Table1[[#This Row],[Does not regard DAIC-WOZ]]=TRUE,Table1[[#This Row],[Does not use MAE]]=TRUE,Table1[[#This Row],[Does not introduce new model]]=TRUE,Table1[[#This Row],[Not in English]]=TRUE,Table1[[#This Row],[Not retrieved]]=TRUE),TRUE,FALSE)</f>
        <v>0</v>
      </c>
      <c r="M205" s="1"/>
      <c r="N205" s="1"/>
      <c r="O205" s="1"/>
      <c r="P205" s="1"/>
      <c r="Q205" s="1"/>
      <c r="R205" s="1"/>
      <c r="S205" s="1"/>
      <c r="T205" s="1"/>
      <c r="U205" s="1"/>
      <c r="V205" s="1"/>
      <c r="W205" s="1"/>
      <c r="X205" s="1"/>
      <c r="Y205" s="1"/>
      <c r="Z205" s="1"/>
      <c r="AA205" s="1"/>
      <c r="AB205" s="1"/>
      <c r="AC205" s="1"/>
      <c r="AD205" s="1"/>
      <c r="AE205" s="1"/>
      <c r="AF20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05" s="1"/>
    </row>
    <row r="206" spans="1:33" ht="72.5" hidden="1" x14ac:dyDescent="0.35">
      <c r="A206" s="1" t="s">
        <v>427</v>
      </c>
      <c r="B206" s="7" t="s">
        <v>428</v>
      </c>
      <c r="C206" t="s">
        <v>268</v>
      </c>
      <c r="E206" s="1" t="b">
        <v>0</v>
      </c>
      <c r="J206" s="1"/>
      <c r="K206" s="1"/>
      <c r="L206" s="1" t="b">
        <f>IF(OR(Table1[[#This Row],[Does not regard DAIC-WOZ]]=TRUE,Table1[[#This Row],[Does not use MAE]]=TRUE,Table1[[#This Row],[Does not introduce new model]]=TRUE,Table1[[#This Row],[Not in English]]=TRUE,Table1[[#This Row],[Not retrieved]]=TRUE),TRUE,FALSE)</f>
        <v>0</v>
      </c>
      <c r="M206" s="1" t="s">
        <v>891</v>
      </c>
      <c r="N206" s="1" t="s">
        <v>890</v>
      </c>
      <c r="O206" s="1" t="s">
        <v>788</v>
      </c>
      <c r="P206" s="1" t="s">
        <v>857</v>
      </c>
      <c r="Q206" s="1" t="s">
        <v>753</v>
      </c>
      <c r="R206" s="1" t="s">
        <v>753</v>
      </c>
      <c r="S206" s="1"/>
      <c r="T206" s="1" t="s">
        <v>775</v>
      </c>
      <c r="U206" s="1" t="s">
        <v>753</v>
      </c>
      <c r="V206" s="1" t="s">
        <v>753</v>
      </c>
      <c r="W206" s="1" t="s">
        <v>753</v>
      </c>
      <c r="X206" s="1" t="s">
        <v>753</v>
      </c>
      <c r="Y206" s="1" t="s">
        <v>753</v>
      </c>
      <c r="Z206" s="1" t="s">
        <v>753</v>
      </c>
      <c r="AA206" s="1" t="s">
        <v>773</v>
      </c>
      <c r="AB206" s="1" t="s">
        <v>778</v>
      </c>
      <c r="AC206" s="1" t="s">
        <v>773</v>
      </c>
      <c r="AD206" s="1" t="s">
        <v>773</v>
      </c>
      <c r="AE206" s="1"/>
      <c r="AF206"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06" t="s">
        <v>892</v>
      </c>
    </row>
    <row r="207" spans="1:33" ht="29" hidden="1" x14ac:dyDescent="0.35">
      <c r="A207" s="1" t="s">
        <v>429</v>
      </c>
      <c r="B207" s="7" t="s">
        <v>430</v>
      </c>
      <c r="C207" t="s">
        <v>268</v>
      </c>
      <c r="E207" s="1" t="b">
        <v>1</v>
      </c>
      <c r="J207" s="1"/>
      <c r="K207" s="1"/>
      <c r="L207" s="1" t="b">
        <f>IF(OR(Table1[[#This Row],[Does not regard DAIC-WOZ]]=TRUE,Table1[[#This Row],[Does not use MAE]]=TRUE,Table1[[#This Row],[Does not introduce new model]]=TRUE,Table1[[#This Row],[Not in English]]=TRUE,Table1[[#This Row],[Not retrieved]]=TRUE),TRUE,FALSE)</f>
        <v>0</v>
      </c>
      <c r="M207" s="1"/>
      <c r="N207" s="1"/>
      <c r="O207" s="1"/>
      <c r="P207" s="1"/>
      <c r="Q207" s="1"/>
      <c r="R207" s="1"/>
      <c r="S207" s="1"/>
      <c r="T207" s="1"/>
      <c r="U207" s="1"/>
      <c r="V207" s="1"/>
      <c r="W207" s="1"/>
      <c r="X207" s="1"/>
      <c r="Y207" s="1"/>
      <c r="Z207" s="1"/>
      <c r="AA207" s="1"/>
      <c r="AB207" s="1"/>
      <c r="AC207" s="1"/>
      <c r="AD207" s="1"/>
      <c r="AE207" s="1"/>
      <c r="AF20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07" s="1"/>
    </row>
    <row r="208" spans="1:33" ht="72.5" x14ac:dyDescent="0.35">
      <c r="A208" s="1" t="s">
        <v>431</v>
      </c>
      <c r="B208" s="7" t="s">
        <v>432</v>
      </c>
      <c r="C208" t="s">
        <v>268</v>
      </c>
      <c r="E208" s="1" t="b">
        <v>0</v>
      </c>
      <c r="J208" s="1"/>
      <c r="K208" s="1"/>
      <c r="L208" s="1" t="b">
        <f>IF(OR(Table1[[#This Row],[Does not regard DAIC-WOZ]]=TRUE,Table1[[#This Row],[Does not use MAE]]=TRUE,Table1[[#This Row],[Does not introduce new model]]=TRUE,Table1[[#This Row],[Not in English]]=TRUE,Table1[[#This Row],[Not retrieved]]=TRUE),TRUE,FALSE)</f>
        <v>0</v>
      </c>
      <c r="M208" s="1" t="s">
        <v>895</v>
      </c>
      <c r="N208" s="1" t="s">
        <v>779</v>
      </c>
      <c r="O208" s="1" t="s">
        <v>788</v>
      </c>
      <c r="P208" s="1" t="s">
        <v>956</v>
      </c>
      <c r="Q208" s="1" t="s">
        <v>787</v>
      </c>
      <c r="R208" s="1" t="s">
        <v>787</v>
      </c>
      <c r="S208" s="1"/>
      <c r="T208" s="1" t="s">
        <v>775</v>
      </c>
      <c r="U208" s="1">
        <v>4.6399999999999997</v>
      </c>
      <c r="V208" s="1">
        <v>5.98</v>
      </c>
      <c r="W208" s="1" t="s">
        <v>753</v>
      </c>
      <c r="X208" s="1" t="s">
        <v>753</v>
      </c>
      <c r="Y208" s="1" t="s">
        <v>753</v>
      </c>
      <c r="Z208" s="1" t="s">
        <v>753</v>
      </c>
      <c r="AA208" s="1" t="s">
        <v>773</v>
      </c>
      <c r="AB208" s="1" t="s">
        <v>773</v>
      </c>
      <c r="AC208" s="1" t="s">
        <v>773</v>
      </c>
      <c r="AD208" s="1" t="s">
        <v>773</v>
      </c>
      <c r="AE208" s="1"/>
      <c r="AF208"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1</v>
      </c>
      <c r="AG208" t="s">
        <v>896</v>
      </c>
    </row>
    <row r="209" spans="1:33" ht="43.5" hidden="1" x14ac:dyDescent="0.35">
      <c r="A209" s="1" t="s">
        <v>433</v>
      </c>
      <c r="B209" s="7" t="s">
        <v>434</v>
      </c>
      <c r="C209" t="s">
        <v>268</v>
      </c>
      <c r="E209" s="1" t="b">
        <v>1</v>
      </c>
      <c r="J209" s="1"/>
      <c r="K209" s="1"/>
      <c r="L209" s="1" t="b">
        <f>IF(OR(Table1[[#This Row],[Does not regard DAIC-WOZ]]=TRUE,Table1[[#This Row],[Does not use MAE]]=TRUE,Table1[[#This Row],[Does not introduce new model]]=TRUE,Table1[[#This Row],[Not in English]]=TRUE,Table1[[#This Row],[Not retrieved]]=TRUE),TRUE,FALSE)</f>
        <v>0</v>
      </c>
      <c r="M209" s="1"/>
      <c r="N209" s="1"/>
      <c r="O209" s="1"/>
      <c r="P209" s="1"/>
      <c r="Q209" s="1"/>
      <c r="R209" s="1"/>
      <c r="S209" s="1"/>
      <c r="T209" s="1"/>
      <c r="U209" s="1"/>
      <c r="V209" s="1"/>
      <c r="W209" s="1"/>
      <c r="X209" s="1"/>
      <c r="Y209" s="1"/>
      <c r="Z209" s="1"/>
      <c r="AA209" s="1"/>
      <c r="AB209" s="1"/>
      <c r="AC209" s="1"/>
      <c r="AD209" s="1"/>
      <c r="AE209" s="1"/>
      <c r="AF20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09" s="1"/>
    </row>
    <row r="210" spans="1:33" ht="116" x14ac:dyDescent="0.35">
      <c r="A210" s="1" t="s">
        <v>435</v>
      </c>
      <c r="B210" s="7" t="s">
        <v>436</v>
      </c>
      <c r="C210" t="s">
        <v>268</v>
      </c>
      <c r="E210" s="1" t="b">
        <v>0</v>
      </c>
      <c r="J210" s="1"/>
      <c r="K210" s="1"/>
      <c r="L210" s="1" t="b">
        <f>IF(OR(Table1[[#This Row],[Does not regard DAIC-WOZ]]=TRUE,Table1[[#This Row],[Does not use MAE]]=TRUE,Table1[[#This Row],[Does not introduce new model]]=TRUE,Table1[[#This Row],[Not in English]]=TRUE,Table1[[#This Row],[Not retrieved]]=TRUE),TRUE,FALSE)</f>
        <v>0</v>
      </c>
      <c r="M210" s="1" t="s">
        <v>899</v>
      </c>
      <c r="N210" s="1" t="s">
        <v>779</v>
      </c>
      <c r="O210" s="1" t="s">
        <v>788</v>
      </c>
      <c r="P210" s="1" t="s">
        <v>897</v>
      </c>
      <c r="Q210" s="1" t="s">
        <v>777</v>
      </c>
      <c r="R210" s="1" t="s">
        <v>898</v>
      </c>
      <c r="S210" s="1"/>
      <c r="T210" s="1" t="s">
        <v>770</v>
      </c>
      <c r="U210" s="1" t="s">
        <v>753</v>
      </c>
      <c r="V210" s="1" t="s">
        <v>753</v>
      </c>
      <c r="W210" s="1" t="s">
        <v>753</v>
      </c>
      <c r="X210" s="1">
        <v>3.66</v>
      </c>
      <c r="Y210" s="1">
        <v>4.6399999999999997</v>
      </c>
      <c r="Z210" s="1" t="s">
        <v>753</v>
      </c>
      <c r="AA210" s="1" t="s">
        <v>773</v>
      </c>
      <c r="AB210" s="1" t="s">
        <v>773</v>
      </c>
      <c r="AC210" s="1" t="s">
        <v>778</v>
      </c>
      <c r="AD210" s="1" t="s">
        <v>773</v>
      </c>
      <c r="AE210" s="1"/>
      <c r="AF210"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1</v>
      </c>
      <c r="AG210" t="s">
        <v>900</v>
      </c>
    </row>
    <row r="211" spans="1:33" ht="29" hidden="1" x14ac:dyDescent="0.35">
      <c r="A211" s="1" t="s">
        <v>437</v>
      </c>
      <c r="B211" s="7" t="s">
        <v>438</v>
      </c>
      <c r="C211" t="s">
        <v>268</v>
      </c>
      <c r="E211" s="1" t="b">
        <v>1</v>
      </c>
      <c r="J211" s="1"/>
      <c r="K211" s="1"/>
      <c r="L211" s="1" t="b">
        <f>IF(OR(Table1[[#This Row],[Does not regard DAIC-WOZ]]=TRUE,Table1[[#This Row],[Does not use MAE]]=TRUE,Table1[[#This Row],[Does not introduce new model]]=TRUE,Table1[[#This Row],[Not in English]]=TRUE,Table1[[#This Row],[Not retrieved]]=TRUE),TRUE,FALSE)</f>
        <v>0</v>
      </c>
      <c r="M211" s="1"/>
      <c r="N211" s="1"/>
      <c r="O211" s="1"/>
      <c r="P211" s="1"/>
      <c r="Q211" s="1"/>
      <c r="R211" s="1"/>
      <c r="S211" s="1"/>
      <c r="T211" s="1"/>
      <c r="U211" s="1"/>
      <c r="V211" s="1"/>
      <c r="W211" s="1"/>
      <c r="X211" s="1"/>
      <c r="Y211" s="1"/>
      <c r="Z211" s="1"/>
      <c r="AA211" s="1"/>
      <c r="AB211" s="1"/>
      <c r="AC211" s="1"/>
      <c r="AD211" s="1"/>
      <c r="AE211" s="1"/>
      <c r="AF21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11" s="1"/>
    </row>
    <row r="212" spans="1:33" ht="29" hidden="1" x14ac:dyDescent="0.35">
      <c r="A212" s="1" t="s">
        <v>439</v>
      </c>
      <c r="B212" s="7" t="s">
        <v>440</v>
      </c>
      <c r="C212" t="s">
        <v>268</v>
      </c>
      <c r="E212" s="1" t="b">
        <v>1</v>
      </c>
      <c r="J212" s="1"/>
      <c r="K212" s="1"/>
      <c r="L212" s="1" t="b">
        <f>IF(OR(Table1[[#This Row],[Does not regard DAIC-WOZ]]=TRUE,Table1[[#This Row],[Does not use MAE]]=TRUE,Table1[[#This Row],[Does not introduce new model]]=TRUE,Table1[[#This Row],[Not in English]]=TRUE,Table1[[#This Row],[Not retrieved]]=TRUE),TRUE,FALSE)</f>
        <v>0</v>
      </c>
      <c r="M212" s="1"/>
      <c r="N212" s="1"/>
      <c r="O212" s="1"/>
      <c r="P212" s="1"/>
      <c r="Q212" s="1"/>
      <c r="R212" s="1"/>
      <c r="S212" s="1"/>
      <c r="T212" s="1"/>
      <c r="U212" s="1"/>
      <c r="V212" s="1"/>
      <c r="W212" s="1"/>
      <c r="X212" s="1"/>
      <c r="Y212" s="1"/>
      <c r="Z212" s="1"/>
      <c r="AA212" s="1"/>
      <c r="AB212" s="1"/>
      <c r="AC212" s="1"/>
      <c r="AD212" s="1"/>
      <c r="AE212" s="1"/>
      <c r="AF21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12" s="1"/>
    </row>
    <row r="213" spans="1:33" ht="29" hidden="1" x14ac:dyDescent="0.35">
      <c r="A213" s="1" t="s">
        <v>441</v>
      </c>
      <c r="B213" s="7" t="s">
        <v>442</v>
      </c>
      <c r="C213" t="s">
        <v>268</v>
      </c>
      <c r="E213" s="1" t="b">
        <v>1</v>
      </c>
      <c r="J213" s="1"/>
      <c r="K213" s="1"/>
      <c r="L213" s="1" t="b">
        <f>IF(OR(Table1[[#This Row],[Does not regard DAIC-WOZ]]=TRUE,Table1[[#This Row],[Does not use MAE]]=TRUE,Table1[[#This Row],[Does not introduce new model]]=TRUE,Table1[[#This Row],[Not in English]]=TRUE,Table1[[#This Row],[Not retrieved]]=TRUE),TRUE,FALSE)</f>
        <v>0</v>
      </c>
      <c r="M213" s="1"/>
      <c r="N213" s="1"/>
      <c r="O213" s="1"/>
      <c r="P213" s="1"/>
      <c r="Q213" s="1"/>
      <c r="R213" s="1"/>
      <c r="S213" s="1"/>
      <c r="T213" s="1"/>
      <c r="U213" s="1"/>
      <c r="V213" s="1"/>
      <c r="W213" s="1"/>
      <c r="X213" s="1"/>
      <c r="Y213" s="1"/>
      <c r="Z213" s="1"/>
      <c r="AA213" s="1"/>
      <c r="AB213" s="1"/>
      <c r="AC213" s="1"/>
      <c r="AD213" s="1"/>
      <c r="AE213" s="1"/>
      <c r="AF21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13" s="1"/>
    </row>
    <row r="214" spans="1:33" ht="43.5" hidden="1" x14ac:dyDescent="0.35">
      <c r="A214" s="1" t="s">
        <v>443</v>
      </c>
      <c r="B214" s="7" t="s">
        <v>444</v>
      </c>
      <c r="C214" t="s">
        <v>268</v>
      </c>
      <c r="E214" s="1" t="b">
        <v>1</v>
      </c>
      <c r="J214" s="1"/>
      <c r="K214" s="1"/>
      <c r="L214" s="1" t="b">
        <f>IF(OR(Table1[[#This Row],[Does not regard DAIC-WOZ]]=TRUE,Table1[[#This Row],[Does not use MAE]]=TRUE,Table1[[#This Row],[Does not introduce new model]]=TRUE,Table1[[#This Row],[Not in English]]=TRUE,Table1[[#This Row],[Not retrieved]]=TRUE),TRUE,FALSE)</f>
        <v>0</v>
      </c>
      <c r="M214" s="1"/>
      <c r="N214" s="1"/>
      <c r="O214" s="1"/>
      <c r="P214" s="1"/>
      <c r="Q214" s="1"/>
      <c r="R214" s="1"/>
      <c r="S214" s="1"/>
      <c r="T214" s="1"/>
      <c r="U214" s="1"/>
      <c r="V214" s="1"/>
      <c r="W214" s="1"/>
      <c r="X214" s="1"/>
      <c r="Y214" s="1"/>
      <c r="Z214" s="1"/>
      <c r="AA214" s="1"/>
      <c r="AB214" s="1"/>
      <c r="AC214" s="1"/>
      <c r="AD214" s="1"/>
      <c r="AE214" s="1"/>
      <c r="AF21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14" s="1"/>
    </row>
    <row r="215" spans="1:33" ht="29" hidden="1" x14ac:dyDescent="0.35">
      <c r="A215" s="1" t="s">
        <v>445</v>
      </c>
      <c r="B215" s="7" t="s">
        <v>446</v>
      </c>
      <c r="C215" t="s">
        <v>268</v>
      </c>
      <c r="E215" s="1" t="b">
        <v>1</v>
      </c>
      <c r="J215" s="1"/>
      <c r="K215" s="1"/>
      <c r="L215" s="1" t="b">
        <f>IF(OR(Table1[[#This Row],[Does not regard DAIC-WOZ]]=TRUE,Table1[[#This Row],[Does not use MAE]]=TRUE,Table1[[#This Row],[Does not introduce new model]]=TRUE,Table1[[#This Row],[Not in English]]=TRUE,Table1[[#This Row],[Not retrieved]]=TRUE),TRUE,FALSE)</f>
        <v>0</v>
      </c>
      <c r="M215" s="1"/>
      <c r="N215" s="1"/>
      <c r="O215" s="1"/>
      <c r="P215" s="1"/>
      <c r="Q215" s="1"/>
      <c r="R215" s="1"/>
      <c r="S215" s="1"/>
      <c r="T215" s="1"/>
      <c r="U215" s="1"/>
      <c r="V215" s="1"/>
      <c r="W215" s="1"/>
      <c r="X215" s="1"/>
      <c r="Y215" s="1"/>
      <c r="Z215" s="1"/>
      <c r="AA215" s="1"/>
      <c r="AB215" s="1"/>
      <c r="AC215" s="1"/>
      <c r="AD215" s="1"/>
      <c r="AE215" s="1"/>
      <c r="AF21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15" s="1"/>
    </row>
    <row r="216" spans="1:33" ht="29" hidden="1" x14ac:dyDescent="0.35">
      <c r="A216" s="1" t="s">
        <v>447</v>
      </c>
      <c r="B216" s="7" t="s">
        <v>448</v>
      </c>
      <c r="C216" t="s">
        <v>268</v>
      </c>
      <c r="E216" s="1" t="b">
        <v>1</v>
      </c>
      <c r="J216" s="1"/>
      <c r="K216" s="1"/>
      <c r="L216" s="1" t="b">
        <f>IF(OR(Table1[[#This Row],[Does not regard DAIC-WOZ]]=TRUE,Table1[[#This Row],[Does not use MAE]]=TRUE,Table1[[#This Row],[Does not introduce new model]]=TRUE,Table1[[#This Row],[Not in English]]=TRUE,Table1[[#This Row],[Not retrieved]]=TRUE),TRUE,FALSE)</f>
        <v>0</v>
      </c>
      <c r="M216" s="1"/>
      <c r="N216" s="1"/>
      <c r="O216" s="1"/>
      <c r="P216" s="1"/>
      <c r="Q216" s="1"/>
      <c r="R216" s="1"/>
      <c r="S216" s="1"/>
      <c r="T216" s="1"/>
      <c r="U216" s="1"/>
      <c r="V216" s="1"/>
      <c r="W216" s="1"/>
      <c r="X216" s="1"/>
      <c r="Y216" s="1"/>
      <c r="Z216" s="1"/>
      <c r="AA216" s="1"/>
      <c r="AB216" s="1"/>
      <c r="AC216" s="1"/>
      <c r="AD216" s="1"/>
      <c r="AE216" s="1"/>
      <c r="AF21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16" s="1"/>
    </row>
    <row r="217" spans="1:33" ht="43.5" hidden="1" x14ac:dyDescent="0.35">
      <c r="A217" s="1" t="s">
        <v>449</v>
      </c>
      <c r="B217" s="7" t="s">
        <v>450</v>
      </c>
      <c r="C217" t="s">
        <v>268</v>
      </c>
      <c r="E217" s="1" t="b">
        <v>1</v>
      </c>
      <c r="J217" s="1"/>
      <c r="K217" s="1"/>
      <c r="L217" s="1" t="b">
        <f>IF(OR(Table1[[#This Row],[Does not regard DAIC-WOZ]]=TRUE,Table1[[#This Row],[Does not use MAE]]=TRUE,Table1[[#This Row],[Does not introduce new model]]=TRUE,Table1[[#This Row],[Not in English]]=TRUE,Table1[[#This Row],[Not retrieved]]=TRUE),TRUE,FALSE)</f>
        <v>0</v>
      </c>
      <c r="M217" s="1"/>
      <c r="N217" s="1"/>
      <c r="O217" s="1"/>
      <c r="P217" s="1"/>
      <c r="Q217" s="1"/>
      <c r="R217" s="1"/>
      <c r="S217" s="1"/>
      <c r="T217" s="1"/>
      <c r="U217" s="1"/>
      <c r="V217" s="1"/>
      <c r="W217" s="1"/>
      <c r="X217" s="1"/>
      <c r="Y217" s="1"/>
      <c r="Z217" s="1"/>
      <c r="AA217" s="1"/>
      <c r="AB217" s="1"/>
      <c r="AC217" s="1"/>
      <c r="AD217" s="1"/>
      <c r="AE217" s="1"/>
      <c r="AF21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17" s="1"/>
    </row>
    <row r="218" spans="1:33" ht="29" hidden="1" x14ac:dyDescent="0.35">
      <c r="A218" s="1" t="s">
        <v>451</v>
      </c>
      <c r="B218" s="7" t="s">
        <v>452</v>
      </c>
      <c r="C218" t="s">
        <v>268</v>
      </c>
      <c r="E218" s="1" t="b">
        <v>1</v>
      </c>
      <c r="J218" s="1"/>
      <c r="K218" s="1"/>
      <c r="L218" s="1" t="b">
        <f>IF(OR(Table1[[#This Row],[Does not regard DAIC-WOZ]]=TRUE,Table1[[#This Row],[Does not use MAE]]=TRUE,Table1[[#This Row],[Does not introduce new model]]=TRUE,Table1[[#This Row],[Not in English]]=TRUE,Table1[[#This Row],[Not retrieved]]=TRUE),TRUE,FALSE)</f>
        <v>0</v>
      </c>
      <c r="M218" s="1"/>
      <c r="N218" s="1"/>
      <c r="O218" s="1"/>
      <c r="P218" s="1"/>
      <c r="Q218" s="1"/>
      <c r="R218" s="1"/>
      <c r="S218" s="1"/>
      <c r="T218" s="1"/>
      <c r="U218" s="1"/>
      <c r="V218" s="1"/>
      <c r="W218" s="1"/>
      <c r="X218" s="1"/>
      <c r="Y218" s="1"/>
      <c r="Z218" s="1"/>
      <c r="AA218" s="1"/>
      <c r="AB218" s="1"/>
      <c r="AC218" s="1"/>
      <c r="AD218" s="1"/>
      <c r="AE218" s="1"/>
      <c r="AF21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18" s="1"/>
    </row>
    <row r="219" spans="1:33" ht="29" hidden="1" x14ac:dyDescent="0.35">
      <c r="A219" s="1" t="s">
        <v>453</v>
      </c>
      <c r="B219" s="7" t="s">
        <v>454</v>
      </c>
      <c r="C219" t="s">
        <v>268</v>
      </c>
      <c r="E219" s="1" t="b">
        <v>1</v>
      </c>
      <c r="J219" s="1"/>
      <c r="K219" s="1"/>
      <c r="L219" s="1" t="b">
        <f>IF(OR(Table1[[#This Row],[Does not regard DAIC-WOZ]]=TRUE,Table1[[#This Row],[Does not use MAE]]=TRUE,Table1[[#This Row],[Does not introduce new model]]=TRUE,Table1[[#This Row],[Not in English]]=TRUE,Table1[[#This Row],[Not retrieved]]=TRUE),TRUE,FALSE)</f>
        <v>0</v>
      </c>
      <c r="M219" s="1"/>
      <c r="N219" s="1"/>
      <c r="O219" s="1"/>
      <c r="P219" s="1"/>
      <c r="Q219" s="1"/>
      <c r="R219" s="1"/>
      <c r="S219" s="1"/>
      <c r="T219" s="1"/>
      <c r="U219" s="1"/>
      <c r="V219" s="1"/>
      <c r="W219" s="1"/>
      <c r="X219" s="1"/>
      <c r="Y219" s="1"/>
      <c r="Z219" s="1"/>
      <c r="AA219" s="1"/>
      <c r="AB219" s="1"/>
      <c r="AC219" s="1"/>
      <c r="AD219" s="1"/>
      <c r="AE219" s="1"/>
      <c r="AF21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19" s="1"/>
    </row>
    <row r="220" spans="1:33" ht="43.5" hidden="1" x14ac:dyDescent="0.35">
      <c r="A220" s="1" t="s">
        <v>455</v>
      </c>
      <c r="B220" s="7" t="s">
        <v>456</v>
      </c>
      <c r="C220" t="s">
        <v>268</v>
      </c>
      <c r="E220" s="1" t="b">
        <v>1</v>
      </c>
      <c r="J220" s="1"/>
      <c r="K220" s="1"/>
      <c r="L220" s="1" t="b">
        <f>IF(OR(Table1[[#This Row],[Does not regard DAIC-WOZ]]=TRUE,Table1[[#This Row],[Does not use MAE]]=TRUE,Table1[[#This Row],[Does not introduce new model]]=TRUE,Table1[[#This Row],[Not in English]]=TRUE,Table1[[#This Row],[Not retrieved]]=TRUE),TRUE,FALSE)</f>
        <v>0</v>
      </c>
      <c r="M220" s="1"/>
      <c r="N220" s="1"/>
      <c r="O220" s="1"/>
      <c r="P220" s="1"/>
      <c r="Q220" s="1"/>
      <c r="R220" s="1"/>
      <c r="S220" s="1"/>
      <c r="T220" s="1"/>
      <c r="U220" s="1"/>
      <c r="V220" s="1"/>
      <c r="W220" s="1"/>
      <c r="X220" s="1"/>
      <c r="Y220" s="1"/>
      <c r="Z220" s="1"/>
      <c r="AA220" s="1"/>
      <c r="AB220" s="1"/>
      <c r="AC220" s="1"/>
      <c r="AD220" s="1"/>
      <c r="AE220" s="1"/>
      <c r="AF22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0" s="1"/>
    </row>
    <row r="221" spans="1:33" ht="29" hidden="1" x14ac:dyDescent="0.35">
      <c r="A221" s="1" t="s">
        <v>457</v>
      </c>
      <c r="B221" s="7" t="s">
        <v>458</v>
      </c>
      <c r="C221" t="s">
        <v>268</v>
      </c>
      <c r="E221" s="1" t="b">
        <v>1</v>
      </c>
      <c r="J221" s="1"/>
      <c r="K221" s="1"/>
      <c r="L221" s="1" t="b">
        <f>IF(OR(Table1[[#This Row],[Does not regard DAIC-WOZ]]=TRUE,Table1[[#This Row],[Does not use MAE]]=TRUE,Table1[[#This Row],[Does not introduce new model]]=TRUE,Table1[[#This Row],[Not in English]]=TRUE,Table1[[#This Row],[Not retrieved]]=TRUE),TRUE,FALSE)</f>
        <v>0</v>
      </c>
      <c r="M221" s="1"/>
      <c r="N221" s="1"/>
      <c r="O221" s="1"/>
      <c r="P221" s="1"/>
      <c r="Q221" s="1"/>
      <c r="R221" s="1"/>
      <c r="S221" s="1"/>
      <c r="T221" s="1"/>
      <c r="U221" s="1"/>
      <c r="V221" s="1"/>
      <c r="W221" s="1"/>
      <c r="X221" s="1"/>
      <c r="Y221" s="1"/>
      <c r="Z221" s="1"/>
      <c r="AA221" s="1"/>
      <c r="AB221" s="1"/>
      <c r="AC221" s="1"/>
      <c r="AD221" s="1"/>
      <c r="AE221" s="1"/>
      <c r="AF22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1" s="1"/>
    </row>
    <row r="222" spans="1:33" ht="29" hidden="1" x14ac:dyDescent="0.35">
      <c r="A222" s="1" t="s">
        <v>459</v>
      </c>
      <c r="B222" s="7" t="s">
        <v>460</v>
      </c>
      <c r="C222" t="s">
        <v>268</v>
      </c>
      <c r="E222" s="1" t="b">
        <v>1</v>
      </c>
      <c r="J222" s="1"/>
      <c r="K222" s="1"/>
      <c r="L222" s="1" t="b">
        <f>IF(OR(Table1[[#This Row],[Does not regard DAIC-WOZ]]=TRUE,Table1[[#This Row],[Does not use MAE]]=TRUE,Table1[[#This Row],[Does not introduce new model]]=TRUE,Table1[[#This Row],[Not in English]]=TRUE,Table1[[#This Row],[Not retrieved]]=TRUE),TRUE,FALSE)</f>
        <v>0</v>
      </c>
      <c r="M222" s="1"/>
      <c r="N222" s="1"/>
      <c r="O222" s="1"/>
      <c r="P222" s="1"/>
      <c r="Q222" s="1"/>
      <c r="R222" s="1"/>
      <c r="S222" s="1"/>
      <c r="T222" s="1"/>
      <c r="U222" s="1"/>
      <c r="V222" s="1"/>
      <c r="W222" s="1"/>
      <c r="X222" s="1"/>
      <c r="Y222" s="1"/>
      <c r="Z222" s="1"/>
      <c r="AA222" s="1"/>
      <c r="AB222" s="1"/>
      <c r="AC222" s="1"/>
      <c r="AD222" s="1"/>
      <c r="AE222" s="1"/>
      <c r="AF22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2" s="1"/>
    </row>
    <row r="223" spans="1:33" ht="29" hidden="1" x14ac:dyDescent="0.35">
      <c r="A223" s="1" t="s">
        <v>461</v>
      </c>
      <c r="B223" s="7" t="s">
        <v>462</v>
      </c>
      <c r="C223" t="s">
        <v>268</v>
      </c>
      <c r="E223" s="1" t="b">
        <v>1</v>
      </c>
      <c r="J223" s="1"/>
      <c r="K223" s="1"/>
      <c r="L223" s="1" t="b">
        <f>IF(OR(Table1[[#This Row],[Does not regard DAIC-WOZ]]=TRUE,Table1[[#This Row],[Does not use MAE]]=TRUE,Table1[[#This Row],[Does not introduce new model]]=TRUE,Table1[[#This Row],[Not in English]]=TRUE,Table1[[#This Row],[Not retrieved]]=TRUE),TRUE,FALSE)</f>
        <v>0</v>
      </c>
      <c r="M223" s="1"/>
      <c r="N223" s="1"/>
      <c r="O223" s="1"/>
      <c r="P223" s="1"/>
      <c r="Q223" s="1"/>
      <c r="R223" s="1"/>
      <c r="S223" s="1"/>
      <c r="T223" s="1"/>
      <c r="U223" s="1"/>
      <c r="V223" s="1"/>
      <c r="W223" s="1"/>
      <c r="X223" s="1"/>
      <c r="Y223" s="1"/>
      <c r="Z223" s="1"/>
      <c r="AA223" s="1"/>
      <c r="AB223" s="1"/>
      <c r="AC223" s="1"/>
      <c r="AD223" s="1"/>
      <c r="AE223" s="1"/>
      <c r="AF22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3" s="1"/>
    </row>
    <row r="224" spans="1:33" ht="43.5" hidden="1" x14ac:dyDescent="0.35">
      <c r="A224" s="1" t="s">
        <v>463</v>
      </c>
      <c r="B224" s="7" t="s">
        <v>464</v>
      </c>
      <c r="C224" t="s">
        <v>268</v>
      </c>
      <c r="E224" s="1" t="b">
        <v>1</v>
      </c>
      <c r="J224" s="1"/>
      <c r="K224" s="1"/>
      <c r="L224" s="1" t="b">
        <f>IF(OR(Table1[[#This Row],[Does not regard DAIC-WOZ]]=TRUE,Table1[[#This Row],[Does not use MAE]]=TRUE,Table1[[#This Row],[Does not introduce new model]]=TRUE,Table1[[#This Row],[Not in English]]=TRUE,Table1[[#This Row],[Not retrieved]]=TRUE),TRUE,FALSE)</f>
        <v>0</v>
      </c>
      <c r="M224" s="1"/>
      <c r="N224" s="1"/>
      <c r="O224" s="1"/>
      <c r="P224" s="1"/>
      <c r="Q224" s="1"/>
      <c r="R224" s="1"/>
      <c r="S224" s="1"/>
      <c r="T224" s="1"/>
      <c r="U224" s="1"/>
      <c r="V224" s="1"/>
      <c r="W224" s="1"/>
      <c r="X224" s="1"/>
      <c r="Y224" s="1"/>
      <c r="Z224" s="1"/>
      <c r="AA224" s="1"/>
      <c r="AB224" s="1"/>
      <c r="AC224" s="1"/>
      <c r="AD224" s="1"/>
      <c r="AE224" s="1"/>
      <c r="AF22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4" s="1"/>
    </row>
    <row r="225" spans="1:33" ht="29" hidden="1" x14ac:dyDescent="0.35">
      <c r="A225" s="1" t="s">
        <v>465</v>
      </c>
      <c r="B225" s="7" t="s">
        <v>466</v>
      </c>
      <c r="C225" t="s">
        <v>268</v>
      </c>
      <c r="D225" s="1"/>
      <c r="E225" s="1" t="b">
        <v>0</v>
      </c>
      <c r="F225" s="1" t="s">
        <v>724</v>
      </c>
      <c r="G225" s="1" t="b">
        <v>1</v>
      </c>
      <c r="J225" s="1"/>
      <c r="K225" s="1"/>
      <c r="L225" s="1" t="b">
        <f>IF(OR(Table1[[#This Row],[Does not regard DAIC-WOZ]]=TRUE,Table1[[#This Row],[Does not use MAE]]=TRUE,Table1[[#This Row],[Does not introduce new model]]=TRUE,Table1[[#This Row],[Not in English]]=TRUE,Table1[[#This Row],[Not retrieved]]=TRUE),TRUE,FALSE)</f>
        <v>1</v>
      </c>
      <c r="M225" s="1"/>
      <c r="N225" s="1"/>
      <c r="O225" s="1"/>
      <c r="P225" s="1"/>
      <c r="Q225" s="1"/>
      <c r="R225" s="1"/>
      <c r="S225" s="1"/>
      <c r="T225" s="1"/>
      <c r="U225" s="1"/>
      <c r="V225" s="1"/>
      <c r="W225" s="1"/>
      <c r="X225" s="1"/>
      <c r="Y225" s="1"/>
      <c r="Z225" s="1"/>
      <c r="AA225" s="1"/>
      <c r="AB225" s="1"/>
      <c r="AC225" s="1"/>
      <c r="AD225" s="1"/>
      <c r="AE225" s="1"/>
      <c r="AF22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5" s="1"/>
    </row>
    <row r="226" spans="1:33" ht="43.5" hidden="1" x14ac:dyDescent="0.35">
      <c r="A226" s="1" t="s">
        <v>467</v>
      </c>
      <c r="B226" s="7" t="s">
        <v>468</v>
      </c>
      <c r="C226" t="s">
        <v>268</v>
      </c>
      <c r="E226" s="1" t="b">
        <v>0</v>
      </c>
      <c r="F226" s="1" t="s">
        <v>724</v>
      </c>
      <c r="G226" s="1" t="b">
        <v>1</v>
      </c>
      <c r="J226" s="1"/>
      <c r="K226" s="1"/>
      <c r="L226" s="1" t="b">
        <f>IF(OR(Table1[[#This Row],[Does not regard DAIC-WOZ]]=TRUE,Table1[[#This Row],[Does not use MAE]]=TRUE,Table1[[#This Row],[Does not introduce new model]]=TRUE,Table1[[#This Row],[Not in English]]=TRUE,Table1[[#This Row],[Not retrieved]]=TRUE),TRUE,FALSE)</f>
        <v>1</v>
      </c>
      <c r="M226" s="1" t="s">
        <v>756</v>
      </c>
      <c r="N226" s="1"/>
      <c r="O226" s="1"/>
      <c r="P226" s="1"/>
      <c r="Q226" s="1"/>
      <c r="R226" s="1"/>
      <c r="S226" s="1"/>
      <c r="T226" s="1"/>
      <c r="U226" s="1"/>
      <c r="V226" s="1"/>
      <c r="W226" s="1"/>
      <c r="X226" s="1"/>
      <c r="Y226" s="1"/>
      <c r="Z226" s="1"/>
      <c r="AA226" s="1"/>
      <c r="AB226" s="1"/>
      <c r="AC226" s="1"/>
      <c r="AD226" s="1"/>
      <c r="AE226" s="1"/>
      <c r="AF22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6" s="1"/>
    </row>
    <row r="227" spans="1:33" ht="29" hidden="1" x14ac:dyDescent="0.35">
      <c r="A227" s="1" t="s">
        <v>469</v>
      </c>
      <c r="B227" s="7" t="s">
        <v>470</v>
      </c>
      <c r="C227" t="s">
        <v>268</v>
      </c>
      <c r="E227" s="1" t="b">
        <v>1</v>
      </c>
      <c r="J227" s="1"/>
      <c r="K227" s="1"/>
      <c r="L227" s="1" t="b">
        <f>IF(OR(Table1[[#This Row],[Does not regard DAIC-WOZ]]=TRUE,Table1[[#This Row],[Does not use MAE]]=TRUE,Table1[[#This Row],[Does not introduce new model]]=TRUE,Table1[[#This Row],[Not in English]]=TRUE,Table1[[#This Row],[Not retrieved]]=TRUE),TRUE,FALSE)</f>
        <v>0</v>
      </c>
      <c r="M227" s="1"/>
      <c r="N227" s="1"/>
      <c r="O227" s="1"/>
      <c r="P227" s="1"/>
      <c r="Q227" s="1"/>
      <c r="R227" s="1"/>
      <c r="S227" s="1"/>
      <c r="T227" s="1"/>
      <c r="U227" s="1"/>
      <c r="V227" s="1"/>
      <c r="W227" s="1"/>
      <c r="X227" s="1"/>
      <c r="Y227" s="1"/>
      <c r="Z227" s="1"/>
      <c r="AA227" s="1"/>
      <c r="AB227" s="1"/>
      <c r="AC227" s="1"/>
      <c r="AD227" s="1"/>
      <c r="AE227" s="1"/>
      <c r="AF22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7" s="1"/>
    </row>
    <row r="228" spans="1:33" ht="29" hidden="1" x14ac:dyDescent="0.35">
      <c r="A228" s="1" t="s">
        <v>471</v>
      </c>
      <c r="B228" s="7" t="s">
        <v>472</v>
      </c>
      <c r="C228" t="s">
        <v>268</v>
      </c>
      <c r="E228" s="1" t="b">
        <v>1</v>
      </c>
      <c r="J228" s="1"/>
      <c r="K228" s="1"/>
      <c r="L228" s="1" t="b">
        <f>IF(OR(Table1[[#This Row],[Does not regard DAIC-WOZ]]=TRUE,Table1[[#This Row],[Does not use MAE]]=TRUE,Table1[[#This Row],[Does not introduce new model]]=TRUE,Table1[[#This Row],[Not in English]]=TRUE,Table1[[#This Row],[Not retrieved]]=TRUE),TRUE,FALSE)</f>
        <v>0</v>
      </c>
      <c r="M228" s="1"/>
      <c r="N228" s="1"/>
      <c r="O228" s="1"/>
      <c r="P228" s="1"/>
      <c r="Q228" s="1"/>
      <c r="R228" s="1"/>
      <c r="S228" s="1"/>
      <c r="T228" s="1"/>
      <c r="U228" s="1"/>
      <c r="V228" s="1"/>
      <c r="W228" s="1"/>
      <c r="X228" s="1"/>
      <c r="Y228" s="1"/>
      <c r="Z228" s="1"/>
      <c r="AA228" s="1"/>
      <c r="AB228" s="1"/>
      <c r="AC228" s="1"/>
      <c r="AD228" s="1"/>
      <c r="AE228" s="1"/>
      <c r="AF22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8" s="1"/>
    </row>
    <row r="229" spans="1:33" ht="43.5" hidden="1" x14ac:dyDescent="0.35">
      <c r="A229" s="1" t="s">
        <v>473</v>
      </c>
      <c r="B229" s="7" t="s">
        <v>474</v>
      </c>
      <c r="C229" t="s">
        <v>268</v>
      </c>
      <c r="E229" s="1" t="b">
        <v>1</v>
      </c>
      <c r="J229" s="1"/>
      <c r="K229" s="1"/>
      <c r="L229" s="1" t="b">
        <f>IF(OR(Table1[[#This Row],[Does not regard DAIC-WOZ]]=TRUE,Table1[[#This Row],[Does not use MAE]]=TRUE,Table1[[#This Row],[Does not introduce new model]]=TRUE,Table1[[#This Row],[Not in English]]=TRUE,Table1[[#This Row],[Not retrieved]]=TRUE),TRUE,FALSE)</f>
        <v>0</v>
      </c>
      <c r="M229" s="1"/>
      <c r="N229" s="1"/>
      <c r="O229" s="1"/>
      <c r="P229" s="1"/>
      <c r="Q229" s="1"/>
      <c r="R229" s="1"/>
      <c r="S229" s="1"/>
      <c r="T229" s="1"/>
      <c r="U229" s="1"/>
      <c r="V229" s="1"/>
      <c r="W229" s="1"/>
      <c r="X229" s="1"/>
      <c r="Y229" s="1"/>
      <c r="Z229" s="1"/>
      <c r="AA229" s="1"/>
      <c r="AB229" s="1"/>
      <c r="AC229" s="1"/>
      <c r="AD229" s="1"/>
      <c r="AE229" s="1"/>
      <c r="AF22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29" s="1"/>
    </row>
    <row r="230" spans="1:33" ht="29" hidden="1" x14ac:dyDescent="0.35">
      <c r="A230" s="1" t="s">
        <v>475</v>
      </c>
      <c r="B230" s="7" t="s">
        <v>476</v>
      </c>
      <c r="C230" t="s">
        <v>268</v>
      </c>
      <c r="E230" s="1" t="b">
        <v>1</v>
      </c>
      <c r="J230" s="1"/>
      <c r="K230" s="1"/>
      <c r="L230" s="1" t="b">
        <f>IF(OR(Table1[[#This Row],[Does not regard DAIC-WOZ]]=TRUE,Table1[[#This Row],[Does not use MAE]]=TRUE,Table1[[#This Row],[Does not introduce new model]]=TRUE,Table1[[#This Row],[Not in English]]=TRUE,Table1[[#This Row],[Not retrieved]]=TRUE),TRUE,FALSE)</f>
        <v>0</v>
      </c>
      <c r="M230" s="1"/>
      <c r="N230" s="1"/>
      <c r="O230" s="1"/>
      <c r="P230" s="1"/>
      <c r="Q230" s="1"/>
      <c r="R230" s="1"/>
      <c r="S230" s="1"/>
      <c r="T230" s="1"/>
      <c r="U230" s="1"/>
      <c r="V230" s="1"/>
      <c r="W230" s="1"/>
      <c r="X230" s="1"/>
      <c r="Y230" s="1"/>
      <c r="Z230" s="1"/>
      <c r="AA230" s="1"/>
      <c r="AB230" s="1"/>
      <c r="AC230" s="1"/>
      <c r="AD230" s="1"/>
      <c r="AE230" s="1"/>
      <c r="AF23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0" s="1"/>
    </row>
    <row r="231" spans="1:33" ht="101.5" hidden="1" x14ac:dyDescent="0.35">
      <c r="A231" s="1" t="s">
        <v>477</v>
      </c>
      <c r="B231" s="7" t="s">
        <v>478</v>
      </c>
      <c r="C231" t="s">
        <v>268</v>
      </c>
      <c r="E231" s="1" t="b">
        <v>0</v>
      </c>
      <c r="J231" s="1"/>
      <c r="K231" s="1"/>
      <c r="L231" s="1" t="b">
        <f>IF(OR(Table1[[#This Row],[Does not regard DAIC-WOZ]]=TRUE,Table1[[#This Row],[Does not use MAE]]=TRUE,Table1[[#This Row],[Does not introduce new model]]=TRUE,Table1[[#This Row],[Not in English]]=TRUE,Table1[[#This Row],[Not retrieved]]=TRUE),TRUE,FALSE)</f>
        <v>0</v>
      </c>
      <c r="M231" s="1" t="s">
        <v>902</v>
      </c>
      <c r="N231" s="1" t="s">
        <v>779</v>
      </c>
      <c r="O231" s="1" t="s">
        <v>901</v>
      </c>
      <c r="P231" s="1" t="s">
        <v>753</v>
      </c>
      <c r="Q231" s="1" t="s">
        <v>753</v>
      </c>
      <c r="R231" s="1" t="s">
        <v>903</v>
      </c>
      <c r="S231" s="1"/>
      <c r="T231" s="1" t="s">
        <v>784</v>
      </c>
      <c r="U231" s="1" t="s">
        <v>753</v>
      </c>
      <c r="V231" s="1" t="s">
        <v>753</v>
      </c>
      <c r="W231" s="1" t="s">
        <v>753</v>
      </c>
      <c r="X231" s="1">
        <v>3.61</v>
      </c>
      <c r="Y231" s="1">
        <v>4.99</v>
      </c>
      <c r="Z231" s="1" t="s">
        <v>753</v>
      </c>
      <c r="AA231" s="1" t="s">
        <v>773</v>
      </c>
      <c r="AB231" s="1" t="s">
        <v>773</v>
      </c>
      <c r="AC231" s="1" t="s">
        <v>773</v>
      </c>
      <c r="AD231" s="1" t="s">
        <v>773</v>
      </c>
      <c r="AE231" s="1"/>
      <c r="AF231"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31" t="s">
        <v>904</v>
      </c>
    </row>
    <row r="232" spans="1:33" ht="29" hidden="1" x14ac:dyDescent="0.35">
      <c r="A232" s="1" t="s">
        <v>479</v>
      </c>
      <c r="B232" s="7" t="s">
        <v>480</v>
      </c>
      <c r="C232" t="s">
        <v>268</v>
      </c>
      <c r="E232" s="1" t="b">
        <v>1</v>
      </c>
      <c r="J232" s="1"/>
      <c r="K232" s="1"/>
      <c r="L232" s="1" t="b">
        <f>IF(OR(Table1[[#This Row],[Does not regard DAIC-WOZ]]=TRUE,Table1[[#This Row],[Does not use MAE]]=TRUE,Table1[[#This Row],[Does not introduce new model]]=TRUE,Table1[[#This Row],[Not in English]]=TRUE,Table1[[#This Row],[Not retrieved]]=TRUE),TRUE,FALSE)</f>
        <v>0</v>
      </c>
      <c r="M232" s="1"/>
      <c r="N232" s="1"/>
      <c r="O232" s="1"/>
      <c r="P232" s="1"/>
      <c r="Q232" s="1"/>
      <c r="R232" s="1"/>
      <c r="S232" s="1"/>
      <c r="T232" s="1"/>
      <c r="U232" s="1"/>
      <c r="V232" s="1"/>
      <c r="W232" s="1"/>
      <c r="X232" s="1"/>
      <c r="Y232" s="1"/>
      <c r="Z232" s="1"/>
      <c r="AA232" s="1"/>
      <c r="AB232" s="1"/>
      <c r="AC232" s="1"/>
      <c r="AD232" s="1"/>
      <c r="AE232" s="1"/>
      <c r="AF23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2" s="1"/>
    </row>
    <row r="233" spans="1:33" ht="29" hidden="1" x14ac:dyDescent="0.35">
      <c r="A233" s="1" t="s">
        <v>481</v>
      </c>
      <c r="B233" s="7" t="s">
        <v>482</v>
      </c>
      <c r="C233" t="s">
        <v>268</v>
      </c>
      <c r="E233" s="1" t="b">
        <v>1</v>
      </c>
      <c r="J233" s="1"/>
      <c r="K233" s="1"/>
      <c r="L233" s="1" t="b">
        <f>IF(OR(Table1[[#This Row],[Does not regard DAIC-WOZ]]=TRUE,Table1[[#This Row],[Does not use MAE]]=TRUE,Table1[[#This Row],[Does not introduce new model]]=TRUE,Table1[[#This Row],[Not in English]]=TRUE,Table1[[#This Row],[Not retrieved]]=TRUE),TRUE,FALSE)</f>
        <v>0</v>
      </c>
      <c r="M233" s="1"/>
      <c r="N233" s="1"/>
      <c r="O233" s="1"/>
      <c r="P233" s="1"/>
      <c r="Q233" s="1"/>
      <c r="R233" s="1"/>
      <c r="S233" s="1"/>
      <c r="T233" s="1"/>
      <c r="U233" s="1"/>
      <c r="V233" s="1"/>
      <c r="W233" s="1"/>
      <c r="X233" s="1"/>
      <c r="Y233" s="1"/>
      <c r="Z233" s="1"/>
      <c r="AA233" s="1"/>
      <c r="AB233" s="1"/>
      <c r="AC233" s="1"/>
      <c r="AD233" s="1"/>
      <c r="AE233" s="1"/>
      <c r="AF23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3" s="1"/>
    </row>
    <row r="234" spans="1:33" ht="43.5" hidden="1" x14ac:dyDescent="0.35">
      <c r="A234" s="1" t="s">
        <v>483</v>
      </c>
      <c r="B234" s="7" t="s">
        <v>484</v>
      </c>
      <c r="C234" t="s">
        <v>268</v>
      </c>
      <c r="D234" s="1"/>
      <c r="E234" s="1" t="b">
        <v>0</v>
      </c>
      <c r="F234" s="1" t="s">
        <v>731</v>
      </c>
      <c r="G234" s="1" t="b">
        <v>1</v>
      </c>
      <c r="J234" s="1"/>
      <c r="K234" s="1"/>
      <c r="L234" s="1" t="b">
        <f>IF(OR(Table1[[#This Row],[Does not regard DAIC-WOZ]]=TRUE,Table1[[#This Row],[Does not use MAE]]=TRUE,Table1[[#This Row],[Does not introduce new model]]=TRUE,Table1[[#This Row],[Not in English]]=TRUE,Table1[[#This Row],[Not retrieved]]=TRUE),TRUE,FALSE)</f>
        <v>1</v>
      </c>
      <c r="M234" s="1"/>
      <c r="N234" s="1"/>
      <c r="O234" s="1"/>
      <c r="P234" s="1"/>
      <c r="Q234" s="1"/>
      <c r="R234" s="1"/>
      <c r="S234" s="1"/>
      <c r="T234" s="1"/>
      <c r="U234" s="1"/>
      <c r="V234" s="1"/>
      <c r="W234" s="1"/>
      <c r="X234" s="1"/>
      <c r="Y234" s="1"/>
      <c r="Z234" s="1"/>
      <c r="AA234" s="1"/>
      <c r="AB234" s="1"/>
      <c r="AC234" s="1"/>
      <c r="AD234" s="1"/>
      <c r="AE234" s="1"/>
      <c r="AF23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4" s="1"/>
    </row>
    <row r="235" spans="1:33" ht="29" hidden="1" x14ac:dyDescent="0.35">
      <c r="A235" s="1" t="s">
        <v>485</v>
      </c>
      <c r="B235" s="7" t="s">
        <v>486</v>
      </c>
      <c r="C235" t="s">
        <v>268</v>
      </c>
      <c r="E235" s="1" t="b">
        <v>1</v>
      </c>
      <c r="J235" s="1"/>
      <c r="K235" s="1"/>
      <c r="L235" s="1" t="b">
        <f>IF(OR(Table1[[#This Row],[Does not regard DAIC-WOZ]]=TRUE,Table1[[#This Row],[Does not use MAE]]=TRUE,Table1[[#This Row],[Does not introduce new model]]=TRUE,Table1[[#This Row],[Not in English]]=TRUE,Table1[[#This Row],[Not retrieved]]=TRUE),TRUE,FALSE)</f>
        <v>0</v>
      </c>
      <c r="M235" s="1"/>
      <c r="N235" s="1"/>
      <c r="O235" s="1"/>
      <c r="P235" s="1"/>
      <c r="Q235" s="1"/>
      <c r="R235" s="1"/>
      <c r="S235" s="1"/>
      <c r="T235" s="1"/>
      <c r="U235" s="1"/>
      <c r="V235" s="1"/>
      <c r="W235" s="1"/>
      <c r="X235" s="1"/>
      <c r="Y235" s="1"/>
      <c r="Z235" s="1"/>
      <c r="AA235" s="1"/>
      <c r="AB235" s="1"/>
      <c r="AC235" s="1"/>
      <c r="AD235" s="1"/>
      <c r="AE235" s="1"/>
      <c r="AF23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5" s="1"/>
    </row>
    <row r="236" spans="1:33" ht="43.5" hidden="1" x14ac:dyDescent="0.35">
      <c r="A236" s="1" t="s">
        <v>487</v>
      </c>
      <c r="B236" s="7" t="s">
        <v>488</v>
      </c>
      <c r="C236" t="s">
        <v>268</v>
      </c>
      <c r="E236" s="1" t="b">
        <v>1</v>
      </c>
      <c r="J236" s="1"/>
      <c r="K236" s="1"/>
      <c r="L236" s="1" t="b">
        <f>IF(OR(Table1[[#This Row],[Does not regard DAIC-WOZ]]=TRUE,Table1[[#This Row],[Does not use MAE]]=TRUE,Table1[[#This Row],[Does not introduce new model]]=TRUE,Table1[[#This Row],[Not in English]]=TRUE,Table1[[#This Row],[Not retrieved]]=TRUE),TRUE,FALSE)</f>
        <v>0</v>
      </c>
      <c r="M236" s="1"/>
      <c r="N236" s="1"/>
      <c r="O236" s="1"/>
      <c r="P236" s="1"/>
      <c r="Q236" s="1"/>
      <c r="R236" s="1"/>
      <c r="S236" s="1"/>
      <c r="T236" s="1"/>
      <c r="U236" s="1"/>
      <c r="V236" s="1"/>
      <c r="W236" s="1"/>
      <c r="X236" s="1"/>
      <c r="Y236" s="1"/>
      <c r="Z236" s="1"/>
      <c r="AA236" s="1"/>
      <c r="AB236" s="1"/>
      <c r="AC236" s="1"/>
      <c r="AD236" s="1"/>
      <c r="AE236" s="1"/>
      <c r="AF23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6" s="1"/>
    </row>
    <row r="237" spans="1:33" hidden="1" x14ac:dyDescent="0.35">
      <c r="A237" s="1" t="s">
        <v>489</v>
      </c>
      <c r="B237" s="7" t="s">
        <v>490</v>
      </c>
      <c r="C237" t="s">
        <v>268</v>
      </c>
      <c r="E237" s="1" t="b">
        <v>1</v>
      </c>
      <c r="J237" s="1"/>
      <c r="K237" s="1"/>
      <c r="L237" s="1" t="b">
        <f>IF(OR(Table1[[#This Row],[Does not regard DAIC-WOZ]]=TRUE,Table1[[#This Row],[Does not use MAE]]=TRUE,Table1[[#This Row],[Does not introduce new model]]=TRUE,Table1[[#This Row],[Not in English]]=TRUE,Table1[[#This Row],[Not retrieved]]=TRUE),TRUE,FALSE)</f>
        <v>0</v>
      </c>
      <c r="M237" s="1"/>
      <c r="N237" s="1"/>
      <c r="O237" s="1"/>
      <c r="P237" s="1"/>
      <c r="Q237" s="1"/>
      <c r="R237" s="1"/>
      <c r="S237" s="1"/>
      <c r="T237" s="1"/>
      <c r="U237" s="1"/>
      <c r="V237" s="1"/>
      <c r="W237" s="1"/>
      <c r="X237" s="1"/>
      <c r="Y237" s="1"/>
      <c r="Z237" s="1"/>
      <c r="AA237" s="1"/>
      <c r="AB237" s="1"/>
      <c r="AC237" s="1"/>
      <c r="AD237" s="1"/>
      <c r="AE237" s="1"/>
      <c r="AF23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7" s="1"/>
    </row>
    <row r="238" spans="1:33" ht="29" hidden="1" x14ac:dyDescent="0.35">
      <c r="A238" s="1" t="s">
        <v>491</v>
      </c>
      <c r="B238" s="7" t="s">
        <v>492</v>
      </c>
      <c r="C238" t="s">
        <v>268</v>
      </c>
      <c r="E238" s="1" t="b">
        <v>1</v>
      </c>
      <c r="J238" s="1"/>
      <c r="K238" s="1"/>
      <c r="L238" s="1" t="b">
        <f>IF(OR(Table1[[#This Row],[Does not regard DAIC-WOZ]]=TRUE,Table1[[#This Row],[Does not use MAE]]=TRUE,Table1[[#This Row],[Does not introduce new model]]=TRUE,Table1[[#This Row],[Not in English]]=TRUE,Table1[[#This Row],[Not retrieved]]=TRUE),TRUE,FALSE)</f>
        <v>0</v>
      </c>
      <c r="M238" s="1"/>
      <c r="N238" s="1"/>
      <c r="O238" s="1"/>
      <c r="P238" s="1"/>
      <c r="Q238" s="1"/>
      <c r="R238" s="1"/>
      <c r="S238" s="1"/>
      <c r="T238" s="1"/>
      <c r="U238" s="1"/>
      <c r="V238" s="1"/>
      <c r="W238" s="1"/>
      <c r="X238" s="1"/>
      <c r="Y238" s="1"/>
      <c r="Z238" s="1"/>
      <c r="AA238" s="1"/>
      <c r="AB238" s="1"/>
      <c r="AC238" s="1"/>
      <c r="AD238" s="1"/>
      <c r="AE238" s="1"/>
      <c r="AF23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8" s="1"/>
    </row>
    <row r="239" spans="1:33" ht="29" hidden="1" x14ac:dyDescent="0.35">
      <c r="A239" s="1" t="s">
        <v>493</v>
      </c>
      <c r="B239" s="7" t="s">
        <v>494</v>
      </c>
      <c r="C239" t="s">
        <v>268</v>
      </c>
      <c r="E239" s="1" t="b">
        <v>1</v>
      </c>
      <c r="J239" s="1"/>
      <c r="K239" s="1"/>
      <c r="L239" s="1" t="b">
        <f>IF(OR(Table1[[#This Row],[Does not regard DAIC-WOZ]]=TRUE,Table1[[#This Row],[Does not use MAE]]=TRUE,Table1[[#This Row],[Does not introduce new model]]=TRUE,Table1[[#This Row],[Not in English]]=TRUE,Table1[[#This Row],[Not retrieved]]=TRUE),TRUE,FALSE)</f>
        <v>0</v>
      </c>
      <c r="M239" s="1"/>
      <c r="N239" s="1"/>
      <c r="O239" s="1"/>
      <c r="P239" s="1"/>
      <c r="Q239" s="1"/>
      <c r="R239" s="1"/>
      <c r="S239" s="1"/>
      <c r="T239" s="1"/>
      <c r="U239" s="1"/>
      <c r="V239" s="1"/>
      <c r="W239" s="1"/>
      <c r="X239" s="1"/>
      <c r="Y239" s="1"/>
      <c r="Z239" s="1"/>
      <c r="AA239" s="1"/>
      <c r="AB239" s="1"/>
      <c r="AC239" s="1"/>
      <c r="AD239" s="1"/>
      <c r="AE239" s="1"/>
      <c r="AF23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39" s="1"/>
    </row>
    <row r="240" spans="1:33" ht="43.5" hidden="1" x14ac:dyDescent="0.35">
      <c r="A240" s="1" t="s">
        <v>495</v>
      </c>
      <c r="B240" s="7" t="s">
        <v>496</v>
      </c>
      <c r="C240" t="s">
        <v>268</v>
      </c>
      <c r="E240" s="1" t="b">
        <v>1</v>
      </c>
      <c r="J240" s="1"/>
      <c r="K240" s="1"/>
      <c r="L240" s="1" t="b">
        <f>IF(OR(Table1[[#This Row],[Does not regard DAIC-WOZ]]=TRUE,Table1[[#This Row],[Does not use MAE]]=TRUE,Table1[[#This Row],[Does not introduce new model]]=TRUE,Table1[[#This Row],[Not in English]]=TRUE,Table1[[#This Row],[Not retrieved]]=TRUE),TRUE,FALSE)</f>
        <v>0</v>
      </c>
      <c r="M240" s="1"/>
      <c r="N240" s="1"/>
      <c r="O240" s="1"/>
      <c r="P240" s="1"/>
      <c r="Q240" s="1"/>
      <c r="R240" s="1"/>
      <c r="S240" s="1"/>
      <c r="T240" s="1"/>
      <c r="U240" s="1"/>
      <c r="V240" s="1"/>
      <c r="W240" s="1"/>
      <c r="X240" s="1"/>
      <c r="Y240" s="1"/>
      <c r="Z240" s="1"/>
      <c r="AA240" s="1"/>
      <c r="AB240" s="1"/>
      <c r="AC240" s="1"/>
      <c r="AD240" s="1"/>
      <c r="AE240" s="1"/>
      <c r="AF24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40" s="1"/>
    </row>
    <row r="241" spans="1:33" ht="29" hidden="1" x14ac:dyDescent="0.35">
      <c r="A241" s="1" t="s">
        <v>497</v>
      </c>
      <c r="B241" s="7" t="s">
        <v>498</v>
      </c>
      <c r="C241" t="s">
        <v>268</v>
      </c>
      <c r="D241" s="1"/>
      <c r="E241" s="1" t="b">
        <v>0</v>
      </c>
      <c r="F241" s="1" t="s">
        <v>764</v>
      </c>
      <c r="G241" s="1" t="b">
        <v>1</v>
      </c>
      <c r="J241" s="1"/>
      <c r="K241" s="1"/>
      <c r="L241" s="1" t="b">
        <f>IF(OR(Table1[[#This Row],[Does not regard DAIC-WOZ]]=TRUE,Table1[[#This Row],[Does not use MAE]]=TRUE,Table1[[#This Row],[Does not introduce new model]]=TRUE,Table1[[#This Row],[Not in English]]=TRUE,Table1[[#This Row],[Not retrieved]]=TRUE),TRUE,FALSE)</f>
        <v>1</v>
      </c>
      <c r="M241" s="1"/>
      <c r="N241" s="1"/>
      <c r="O241" s="1"/>
      <c r="P241" s="1"/>
      <c r="Q241" s="1"/>
      <c r="R241" s="1"/>
      <c r="S241" s="1"/>
      <c r="T241" s="1"/>
      <c r="U241" s="1"/>
      <c r="V241" s="1"/>
      <c r="W241" s="1"/>
      <c r="X241" s="1"/>
      <c r="Y241" s="1"/>
      <c r="Z241" s="1"/>
      <c r="AA241" s="1"/>
      <c r="AB241" s="1"/>
      <c r="AC241" s="1"/>
      <c r="AD241" s="1"/>
      <c r="AE241" s="1"/>
      <c r="AF24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41" s="1"/>
    </row>
    <row r="242" spans="1:33" ht="130.5" hidden="1" x14ac:dyDescent="0.35">
      <c r="A242" s="1" t="s">
        <v>499</v>
      </c>
      <c r="B242" s="7" t="s">
        <v>500</v>
      </c>
      <c r="C242" t="s">
        <v>268</v>
      </c>
      <c r="E242" s="1" t="b">
        <v>0</v>
      </c>
      <c r="J242" s="1"/>
      <c r="K242" s="1"/>
      <c r="L242" s="1" t="b">
        <f>IF(OR(Table1[[#This Row],[Does not regard DAIC-WOZ]]=TRUE,Table1[[#This Row],[Does not use MAE]]=TRUE,Table1[[#This Row],[Does not introduce new model]]=TRUE,Table1[[#This Row],[Not in English]]=TRUE,Table1[[#This Row],[Not retrieved]]=TRUE),TRUE,FALSE)</f>
        <v>0</v>
      </c>
      <c r="M242" s="1" t="s">
        <v>753</v>
      </c>
      <c r="N242" s="1" t="s">
        <v>938</v>
      </c>
      <c r="O242" s="1" t="s">
        <v>753</v>
      </c>
      <c r="P242" s="1" t="s">
        <v>753</v>
      </c>
      <c r="Q242" s="1" t="s">
        <v>777</v>
      </c>
      <c r="R242" s="1" t="s">
        <v>753</v>
      </c>
      <c r="S242" s="1"/>
      <c r="T242" s="1" t="s">
        <v>784</v>
      </c>
      <c r="U242" s="1" t="s">
        <v>753</v>
      </c>
      <c r="V242" s="1" t="s">
        <v>753</v>
      </c>
      <c r="W242" s="1" t="s">
        <v>753</v>
      </c>
      <c r="X242" s="1" t="s">
        <v>753</v>
      </c>
      <c r="Y242" s="1" t="s">
        <v>753</v>
      </c>
      <c r="Z242" s="1" t="s">
        <v>753</v>
      </c>
      <c r="AA242" s="1" t="s">
        <v>773</v>
      </c>
      <c r="AB242" s="1" t="s">
        <v>773</v>
      </c>
      <c r="AC242" s="1" t="s">
        <v>753</v>
      </c>
      <c r="AD242" s="1" t="s">
        <v>753</v>
      </c>
      <c r="AE242" s="1"/>
      <c r="AF242"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42" t="s">
        <v>939</v>
      </c>
    </row>
    <row r="243" spans="1:33" ht="29" hidden="1" x14ac:dyDescent="0.35">
      <c r="A243" s="1" t="s">
        <v>501</v>
      </c>
      <c r="B243" s="7" t="s">
        <v>502</v>
      </c>
      <c r="C243" t="s">
        <v>268</v>
      </c>
      <c r="E243" s="1" t="b">
        <v>1</v>
      </c>
      <c r="J243" s="1"/>
      <c r="K243" s="1"/>
      <c r="L243" s="1" t="b">
        <f>IF(OR(Table1[[#This Row],[Does not regard DAIC-WOZ]]=TRUE,Table1[[#This Row],[Does not use MAE]]=TRUE,Table1[[#This Row],[Does not introduce new model]]=TRUE,Table1[[#This Row],[Not in English]]=TRUE,Table1[[#This Row],[Not retrieved]]=TRUE),TRUE,FALSE)</f>
        <v>0</v>
      </c>
      <c r="M243" s="1"/>
      <c r="N243" s="1"/>
      <c r="O243" s="1"/>
      <c r="P243" s="1"/>
      <c r="Q243" s="1"/>
      <c r="R243" s="1"/>
      <c r="S243" s="1"/>
      <c r="T243" s="1"/>
      <c r="U243" s="1"/>
      <c r="V243" s="1"/>
      <c r="W243" s="1"/>
      <c r="X243" s="1"/>
      <c r="Y243" s="1"/>
      <c r="Z243" s="1"/>
      <c r="AA243" s="1"/>
      <c r="AB243" s="1"/>
      <c r="AC243" s="1"/>
      <c r="AD243" s="1"/>
      <c r="AE243" s="1"/>
      <c r="AF24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43" s="1"/>
    </row>
    <row r="244" spans="1:33" ht="43.5" hidden="1" x14ac:dyDescent="0.35">
      <c r="A244" s="1" t="s">
        <v>503</v>
      </c>
      <c r="B244" s="7" t="s">
        <v>504</v>
      </c>
      <c r="C244" t="s">
        <v>268</v>
      </c>
      <c r="D244" s="1"/>
      <c r="E244" s="1" t="b">
        <v>0</v>
      </c>
      <c r="F244" s="1" t="s">
        <v>725</v>
      </c>
      <c r="G244" s="1" t="b">
        <v>1</v>
      </c>
      <c r="J244" s="1"/>
      <c r="K244" s="1"/>
      <c r="L244" s="1" t="b">
        <f>IF(OR(Table1[[#This Row],[Does not regard DAIC-WOZ]]=TRUE,Table1[[#This Row],[Does not use MAE]]=TRUE,Table1[[#This Row],[Does not introduce new model]]=TRUE,Table1[[#This Row],[Not in English]]=TRUE,Table1[[#This Row],[Not retrieved]]=TRUE),TRUE,FALSE)</f>
        <v>1</v>
      </c>
      <c r="M244" s="1"/>
      <c r="N244" s="1"/>
      <c r="O244" s="1"/>
      <c r="P244" s="1"/>
      <c r="Q244" s="1"/>
      <c r="R244" s="1"/>
      <c r="S244" s="1"/>
      <c r="T244" s="1"/>
      <c r="U244" s="1"/>
      <c r="V244" s="1"/>
      <c r="W244" s="1"/>
      <c r="X244" s="1"/>
      <c r="Y244" s="1"/>
      <c r="Z244" s="1"/>
      <c r="AA244" s="1"/>
      <c r="AB244" s="1"/>
      <c r="AC244" s="1"/>
      <c r="AD244" s="1"/>
      <c r="AE244" s="1"/>
      <c r="AF24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44" s="1"/>
    </row>
    <row r="245" spans="1:33" ht="43.5" hidden="1" x14ac:dyDescent="0.35">
      <c r="A245" s="1" t="s">
        <v>505</v>
      </c>
      <c r="B245" s="7" t="s">
        <v>506</v>
      </c>
      <c r="C245" t="s">
        <v>268</v>
      </c>
      <c r="D245" s="1"/>
      <c r="E245" s="1" t="b">
        <v>0</v>
      </c>
      <c r="F245" s="1" t="s">
        <v>724</v>
      </c>
      <c r="G245" s="1" t="b">
        <v>1</v>
      </c>
      <c r="J245" s="1"/>
      <c r="K245" s="1"/>
      <c r="L245" s="1" t="b">
        <f>IF(OR(Table1[[#This Row],[Does not regard DAIC-WOZ]]=TRUE,Table1[[#This Row],[Does not use MAE]]=TRUE,Table1[[#This Row],[Does not introduce new model]]=TRUE,Table1[[#This Row],[Not in English]]=TRUE,Table1[[#This Row],[Not retrieved]]=TRUE),TRUE,FALSE)</f>
        <v>1</v>
      </c>
      <c r="M245" s="1"/>
      <c r="N245" s="1"/>
      <c r="O245" s="1"/>
      <c r="P245" s="1"/>
      <c r="Q245" s="1"/>
      <c r="R245" s="1"/>
      <c r="S245" s="1"/>
      <c r="T245" s="1"/>
      <c r="U245" s="1"/>
      <c r="V245" s="1"/>
      <c r="W245" s="1"/>
      <c r="X245" s="1"/>
      <c r="Y245" s="1"/>
      <c r="Z245" s="1"/>
      <c r="AA245" s="1"/>
      <c r="AB245" s="1"/>
      <c r="AC245" s="1"/>
      <c r="AD245" s="1"/>
      <c r="AE245" s="1"/>
      <c r="AF24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45" s="1"/>
    </row>
    <row r="246" spans="1:33" ht="29" hidden="1" x14ac:dyDescent="0.35">
      <c r="A246" s="1" t="s">
        <v>507</v>
      </c>
      <c r="B246" s="7" t="s">
        <v>508</v>
      </c>
      <c r="C246" t="s">
        <v>268</v>
      </c>
      <c r="E246" s="1" t="b">
        <v>1</v>
      </c>
      <c r="J246" s="1"/>
      <c r="K246" s="1"/>
      <c r="L246" s="1" t="b">
        <f>IF(OR(Table1[[#This Row],[Does not regard DAIC-WOZ]]=TRUE,Table1[[#This Row],[Does not use MAE]]=TRUE,Table1[[#This Row],[Does not introduce new model]]=TRUE,Table1[[#This Row],[Not in English]]=TRUE,Table1[[#This Row],[Not retrieved]]=TRUE),TRUE,FALSE)</f>
        <v>0</v>
      </c>
      <c r="M246" s="1"/>
      <c r="N246" s="1"/>
      <c r="O246" s="1"/>
      <c r="P246" s="1"/>
      <c r="Q246" s="1"/>
      <c r="R246" s="1"/>
      <c r="S246" s="1"/>
      <c r="T246" s="1"/>
      <c r="U246" s="1"/>
      <c r="V246" s="1"/>
      <c r="W246" s="1"/>
      <c r="X246" s="1"/>
      <c r="Y246" s="1"/>
      <c r="Z246" s="1"/>
      <c r="AA246" s="1"/>
      <c r="AB246" s="1"/>
      <c r="AC246" s="1"/>
      <c r="AD246" s="1"/>
      <c r="AE246" s="1"/>
      <c r="AF24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46" s="1"/>
    </row>
    <row r="247" spans="1:33" ht="29" hidden="1" x14ac:dyDescent="0.35">
      <c r="A247" s="1" t="s">
        <v>509</v>
      </c>
      <c r="B247" s="7" t="s">
        <v>510</v>
      </c>
      <c r="C247" t="s">
        <v>268</v>
      </c>
      <c r="E247" s="1" t="b">
        <v>1</v>
      </c>
      <c r="J247" s="1"/>
      <c r="K247" s="1"/>
      <c r="L247" s="1" t="b">
        <f>IF(OR(Table1[[#This Row],[Does not regard DAIC-WOZ]]=TRUE,Table1[[#This Row],[Does not use MAE]]=TRUE,Table1[[#This Row],[Does not introduce new model]]=TRUE,Table1[[#This Row],[Not in English]]=TRUE,Table1[[#This Row],[Not retrieved]]=TRUE),TRUE,FALSE)</f>
        <v>0</v>
      </c>
      <c r="M247" s="1"/>
      <c r="N247" s="1"/>
      <c r="O247" s="1"/>
      <c r="P247" s="1"/>
      <c r="Q247" s="1"/>
      <c r="R247" s="1"/>
      <c r="S247" s="1"/>
      <c r="T247" s="1"/>
      <c r="U247" s="1"/>
      <c r="V247" s="1"/>
      <c r="W247" s="1"/>
      <c r="X247" s="1"/>
      <c r="Y247" s="1"/>
      <c r="Z247" s="1"/>
      <c r="AA247" s="1"/>
      <c r="AB247" s="1"/>
      <c r="AC247" s="1"/>
      <c r="AD247" s="1"/>
      <c r="AE247" s="1"/>
      <c r="AF24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47" s="1"/>
    </row>
    <row r="248" spans="1:33" ht="29" hidden="1" x14ac:dyDescent="0.35">
      <c r="A248" s="1" t="s">
        <v>511</v>
      </c>
      <c r="B248" s="7" t="s">
        <v>512</v>
      </c>
      <c r="C248" t="s">
        <v>268</v>
      </c>
      <c r="D248" s="1"/>
      <c r="E248" s="1" t="b">
        <v>0</v>
      </c>
      <c r="F248" s="1" t="s">
        <v>724</v>
      </c>
      <c r="G248" s="1" t="b">
        <v>1</v>
      </c>
      <c r="J248" s="1"/>
      <c r="K248" s="1"/>
      <c r="L248" s="1" t="b">
        <f>IF(OR(Table1[[#This Row],[Does not regard DAIC-WOZ]]=TRUE,Table1[[#This Row],[Does not use MAE]]=TRUE,Table1[[#This Row],[Does not introduce new model]]=TRUE,Table1[[#This Row],[Not in English]]=TRUE,Table1[[#This Row],[Not retrieved]]=TRUE),TRUE,FALSE)</f>
        <v>1</v>
      </c>
      <c r="M248" s="1"/>
      <c r="N248" s="1"/>
      <c r="O248" s="1"/>
      <c r="P248" s="1"/>
      <c r="Q248" s="1"/>
      <c r="R248" s="1"/>
      <c r="S248" s="1"/>
      <c r="T248" s="1"/>
      <c r="U248" s="1"/>
      <c r="V248" s="1"/>
      <c r="W248" s="1"/>
      <c r="X248" s="1"/>
      <c r="Y248" s="1"/>
      <c r="Z248" s="1"/>
      <c r="AA248" s="1"/>
      <c r="AB248" s="1"/>
      <c r="AC248" s="1"/>
      <c r="AD248" s="1"/>
      <c r="AE248" s="1"/>
      <c r="AF24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48" s="1"/>
    </row>
    <row r="249" spans="1:33" ht="43.5" hidden="1" x14ac:dyDescent="0.35">
      <c r="A249" s="1" t="s">
        <v>513</v>
      </c>
      <c r="B249" s="7" t="s">
        <v>514</v>
      </c>
      <c r="C249" t="s">
        <v>268</v>
      </c>
      <c r="E249" s="1" t="b">
        <v>1</v>
      </c>
      <c r="J249" s="1"/>
      <c r="K249" s="1"/>
      <c r="L249" s="1" t="b">
        <f>IF(OR(Table1[[#This Row],[Does not regard DAIC-WOZ]]=TRUE,Table1[[#This Row],[Does not use MAE]]=TRUE,Table1[[#This Row],[Does not introduce new model]]=TRUE,Table1[[#This Row],[Not in English]]=TRUE,Table1[[#This Row],[Not retrieved]]=TRUE),TRUE,FALSE)</f>
        <v>0</v>
      </c>
      <c r="M249" s="1"/>
      <c r="N249" s="1"/>
      <c r="O249" s="1"/>
      <c r="P249" s="1"/>
      <c r="Q249" s="1"/>
      <c r="R249" s="1"/>
      <c r="S249" s="1"/>
      <c r="T249" s="1"/>
      <c r="U249" s="1"/>
      <c r="V249" s="1"/>
      <c r="W249" s="1"/>
      <c r="X249" s="1"/>
      <c r="Y249" s="1"/>
      <c r="Z249" s="1"/>
      <c r="AA249" s="1"/>
      <c r="AB249" s="1"/>
      <c r="AC249" s="1"/>
      <c r="AD249" s="1"/>
      <c r="AE249" s="1"/>
      <c r="AF24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49" s="1"/>
    </row>
    <row r="250" spans="1:33" ht="43.5" hidden="1" x14ac:dyDescent="0.35">
      <c r="A250" s="1" t="s">
        <v>515</v>
      </c>
      <c r="B250" s="7" t="s">
        <v>516</v>
      </c>
      <c r="C250" t="s">
        <v>268</v>
      </c>
      <c r="E250" s="1" t="b">
        <v>1</v>
      </c>
      <c r="J250" s="1"/>
      <c r="K250" s="1"/>
      <c r="L250" s="1" t="b">
        <f>IF(OR(Table1[[#This Row],[Does not regard DAIC-WOZ]]=TRUE,Table1[[#This Row],[Does not use MAE]]=TRUE,Table1[[#This Row],[Does not introduce new model]]=TRUE,Table1[[#This Row],[Not in English]]=TRUE,Table1[[#This Row],[Not retrieved]]=TRUE),TRUE,FALSE)</f>
        <v>0</v>
      </c>
      <c r="M250" s="1"/>
      <c r="N250" s="1"/>
      <c r="O250" s="1"/>
      <c r="P250" s="1"/>
      <c r="Q250" s="1"/>
      <c r="R250" s="1"/>
      <c r="S250" s="1"/>
      <c r="T250" s="1"/>
      <c r="U250" s="1"/>
      <c r="V250" s="1"/>
      <c r="W250" s="1"/>
      <c r="X250" s="1"/>
      <c r="Y250" s="1"/>
      <c r="Z250" s="1"/>
      <c r="AA250" s="1"/>
      <c r="AB250" s="1"/>
      <c r="AC250" s="1"/>
      <c r="AD250" s="1"/>
      <c r="AE250" s="1"/>
      <c r="AF25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50" s="1"/>
    </row>
    <row r="251" spans="1:33" ht="43.5" hidden="1" x14ac:dyDescent="0.35">
      <c r="A251" s="1" t="s">
        <v>517</v>
      </c>
      <c r="B251" s="7" t="s">
        <v>518</v>
      </c>
      <c r="C251" t="s">
        <v>268</v>
      </c>
      <c r="E251" s="1" t="b">
        <v>1</v>
      </c>
      <c r="J251" s="1"/>
      <c r="K251" s="1"/>
      <c r="L251" s="1" t="b">
        <f>IF(OR(Table1[[#This Row],[Does not regard DAIC-WOZ]]=TRUE,Table1[[#This Row],[Does not use MAE]]=TRUE,Table1[[#This Row],[Does not introduce new model]]=TRUE,Table1[[#This Row],[Not in English]]=TRUE,Table1[[#This Row],[Not retrieved]]=TRUE),TRUE,FALSE)</f>
        <v>0</v>
      </c>
      <c r="M251" s="1"/>
      <c r="N251" s="1"/>
      <c r="O251" s="1"/>
      <c r="P251" s="1"/>
      <c r="Q251" s="1"/>
      <c r="R251" s="1"/>
      <c r="S251" s="1"/>
      <c r="T251" s="1"/>
      <c r="U251" s="1"/>
      <c r="V251" s="1"/>
      <c r="W251" s="1"/>
      <c r="X251" s="1"/>
      <c r="Y251" s="1"/>
      <c r="Z251" s="1"/>
      <c r="AA251" s="1"/>
      <c r="AB251" s="1"/>
      <c r="AC251" s="1"/>
      <c r="AD251" s="1"/>
      <c r="AE251" s="1"/>
      <c r="AF25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51" s="1"/>
    </row>
    <row r="252" spans="1:33" ht="29" hidden="1" x14ac:dyDescent="0.35">
      <c r="A252" s="1" t="s">
        <v>519</v>
      </c>
      <c r="B252" s="7" t="s">
        <v>520</v>
      </c>
      <c r="C252" t="s">
        <v>268</v>
      </c>
      <c r="E252" s="1" t="b">
        <v>1</v>
      </c>
      <c r="J252" s="1"/>
      <c r="K252" s="1"/>
      <c r="L252" s="1" t="b">
        <f>IF(OR(Table1[[#This Row],[Does not regard DAIC-WOZ]]=TRUE,Table1[[#This Row],[Does not use MAE]]=TRUE,Table1[[#This Row],[Does not introduce new model]]=TRUE,Table1[[#This Row],[Not in English]]=TRUE,Table1[[#This Row],[Not retrieved]]=TRUE),TRUE,FALSE)</f>
        <v>0</v>
      </c>
      <c r="M252" s="1"/>
      <c r="N252" s="1"/>
      <c r="O252" s="1"/>
      <c r="P252" s="1"/>
      <c r="Q252" s="1"/>
      <c r="R252" s="1"/>
      <c r="S252" s="1"/>
      <c r="T252" s="1"/>
      <c r="U252" s="1"/>
      <c r="V252" s="1"/>
      <c r="W252" s="1"/>
      <c r="X252" s="1"/>
      <c r="Y252" s="1"/>
      <c r="Z252" s="1"/>
      <c r="AA252" s="1"/>
      <c r="AB252" s="1"/>
      <c r="AC252" s="1"/>
      <c r="AD252" s="1"/>
      <c r="AE252" s="1"/>
      <c r="AF25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52" s="1"/>
    </row>
    <row r="253" spans="1:33" ht="29" hidden="1" x14ac:dyDescent="0.35">
      <c r="A253" s="1" t="s">
        <v>521</v>
      </c>
      <c r="B253" s="7" t="s">
        <v>522</v>
      </c>
      <c r="C253" t="s">
        <v>268</v>
      </c>
      <c r="E253" s="1" t="b">
        <v>1</v>
      </c>
      <c r="J253" s="1"/>
      <c r="K253" s="1"/>
      <c r="L253" s="1" t="b">
        <f>IF(OR(Table1[[#This Row],[Does not regard DAIC-WOZ]]=TRUE,Table1[[#This Row],[Does not use MAE]]=TRUE,Table1[[#This Row],[Does not introduce new model]]=TRUE,Table1[[#This Row],[Not in English]]=TRUE,Table1[[#This Row],[Not retrieved]]=TRUE),TRUE,FALSE)</f>
        <v>0</v>
      </c>
      <c r="M253" s="1"/>
      <c r="N253" s="1"/>
      <c r="O253" s="1"/>
      <c r="P253" s="1"/>
      <c r="Q253" s="1"/>
      <c r="R253" s="1"/>
      <c r="S253" s="1"/>
      <c r="T253" s="1"/>
      <c r="U253" s="1"/>
      <c r="V253" s="1"/>
      <c r="W253" s="1"/>
      <c r="X253" s="1"/>
      <c r="Y253" s="1"/>
      <c r="Z253" s="1"/>
      <c r="AA253" s="1"/>
      <c r="AB253" s="1"/>
      <c r="AC253" s="1"/>
      <c r="AD253" s="1"/>
      <c r="AE253" s="1"/>
      <c r="AF25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53" s="1"/>
    </row>
    <row r="254" spans="1:33" ht="29" hidden="1" x14ac:dyDescent="0.35">
      <c r="A254" s="1" t="s">
        <v>523</v>
      </c>
      <c r="B254" s="7" t="s">
        <v>524</v>
      </c>
      <c r="C254" t="s">
        <v>268</v>
      </c>
      <c r="D254" s="1"/>
      <c r="E254" s="1" t="b">
        <v>0</v>
      </c>
      <c r="F254" s="1" t="s">
        <v>729</v>
      </c>
      <c r="G254" s="1" t="b">
        <v>1</v>
      </c>
      <c r="J254" s="1"/>
      <c r="K254" s="1"/>
      <c r="L254" s="1" t="b">
        <f>IF(OR(Table1[[#This Row],[Does not regard DAIC-WOZ]]=TRUE,Table1[[#This Row],[Does not use MAE]]=TRUE,Table1[[#This Row],[Does not introduce new model]]=TRUE,Table1[[#This Row],[Not in English]]=TRUE,Table1[[#This Row],[Not retrieved]]=TRUE),TRUE,FALSE)</f>
        <v>1</v>
      </c>
      <c r="M254" s="1"/>
      <c r="N254" s="1"/>
      <c r="O254" s="1"/>
      <c r="P254" s="1"/>
      <c r="Q254" s="1"/>
      <c r="R254" s="1"/>
      <c r="S254" s="1"/>
      <c r="T254" s="1"/>
      <c r="U254" s="1"/>
      <c r="V254" s="1"/>
      <c r="W254" s="1"/>
      <c r="X254" s="1"/>
      <c r="Y254" s="1"/>
      <c r="Z254" s="1"/>
      <c r="AA254" s="1"/>
      <c r="AB254" s="1"/>
      <c r="AC254" s="1"/>
      <c r="AD254" s="1"/>
      <c r="AE254" s="1"/>
      <c r="AF25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54" s="1"/>
    </row>
    <row r="255" spans="1:33" ht="43.5" hidden="1" x14ac:dyDescent="0.35">
      <c r="A255" s="1" t="s">
        <v>525</v>
      </c>
      <c r="B255" s="7" t="s">
        <v>526</v>
      </c>
      <c r="C255" t="s">
        <v>268</v>
      </c>
      <c r="E255" s="1" t="b">
        <v>1</v>
      </c>
      <c r="J255" s="1"/>
      <c r="K255" s="1"/>
      <c r="L255" s="1" t="b">
        <f>IF(OR(Table1[[#This Row],[Does not regard DAIC-WOZ]]=TRUE,Table1[[#This Row],[Does not use MAE]]=TRUE,Table1[[#This Row],[Does not introduce new model]]=TRUE,Table1[[#This Row],[Not in English]]=TRUE,Table1[[#This Row],[Not retrieved]]=TRUE),TRUE,FALSE)</f>
        <v>0</v>
      </c>
      <c r="M255" s="1"/>
      <c r="N255" s="1"/>
      <c r="O255" s="1"/>
      <c r="P255" s="1"/>
      <c r="Q255" s="1"/>
      <c r="R255" s="1"/>
      <c r="S255" s="1"/>
      <c r="T255" s="1"/>
      <c r="U255" s="1"/>
      <c r="V255" s="1"/>
      <c r="W255" s="1"/>
      <c r="X255" s="1"/>
      <c r="Y255" s="1"/>
      <c r="Z255" s="1"/>
      <c r="AA255" s="1"/>
      <c r="AB255" s="1"/>
      <c r="AC255" s="1"/>
      <c r="AD255" s="1"/>
      <c r="AE255" s="1"/>
      <c r="AF25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55" s="1"/>
    </row>
    <row r="256" spans="1:33" ht="43.5" hidden="1" x14ac:dyDescent="0.35">
      <c r="A256" s="1" t="s">
        <v>527</v>
      </c>
      <c r="B256" s="7" t="s">
        <v>528</v>
      </c>
      <c r="C256" t="s">
        <v>268</v>
      </c>
      <c r="E256" s="1" t="b">
        <v>1</v>
      </c>
      <c r="J256" s="1"/>
      <c r="K256" s="1"/>
      <c r="L256" s="1" t="b">
        <f>IF(OR(Table1[[#This Row],[Does not regard DAIC-WOZ]]=TRUE,Table1[[#This Row],[Does not use MAE]]=TRUE,Table1[[#This Row],[Does not introduce new model]]=TRUE,Table1[[#This Row],[Not in English]]=TRUE,Table1[[#This Row],[Not retrieved]]=TRUE),TRUE,FALSE)</f>
        <v>0</v>
      </c>
      <c r="M256" s="1"/>
      <c r="N256" s="1"/>
      <c r="O256" s="1"/>
      <c r="P256" s="1"/>
      <c r="Q256" s="1"/>
      <c r="R256" s="1"/>
      <c r="S256" s="1"/>
      <c r="T256" s="1"/>
      <c r="U256" s="1"/>
      <c r="V256" s="1"/>
      <c r="W256" s="1"/>
      <c r="X256" s="1"/>
      <c r="Y256" s="1"/>
      <c r="Z256" s="1"/>
      <c r="AA256" s="1"/>
      <c r="AB256" s="1"/>
      <c r="AC256" s="1"/>
      <c r="AD256" s="1"/>
      <c r="AE256" s="1"/>
      <c r="AF25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56" s="1"/>
    </row>
    <row r="257" spans="1:33" ht="29" hidden="1" x14ac:dyDescent="0.35">
      <c r="A257" s="1" t="s">
        <v>529</v>
      </c>
      <c r="B257" s="7" t="s">
        <v>530</v>
      </c>
      <c r="C257" t="s">
        <v>268</v>
      </c>
      <c r="E257" s="1" t="b">
        <v>1</v>
      </c>
      <c r="J257" s="1"/>
      <c r="K257" s="1"/>
      <c r="L257" s="1" t="b">
        <f>IF(OR(Table1[[#This Row],[Does not regard DAIC-WOZ]]=TRUE,Table1[[#This Row],[Does not use MAE]]=TRUE,Table1[[#This Row],[Does not introduce new model]]=TRUE,Table1[[#This Row],[Not in English]]=TRUE,Table1[[#This Row],[Not retrieved]]=TRUE),TRUE,FALSE)</f>
        <v>0</v>
      </c>
      <c r="M257" s="1"/>
      <c r="N257" s="1"/>
      <c r="O257" s="1"/>
      <c r="P257" s="1"/>
      <c r="Q257" s="1"/>
      <c r="R257" s="1"/>
      <c r="S257" s="1"/>
      <c r="T257" s="1"/>
      <c r="U257" s="1"/>
      <c r="V257" s="1"/>
      <c r="W257" s="1"/>
      <c r="X257" s="1"/>
      <c r="Y257" s="1"/>
      <c r="Z257" s="1"/>
      <c r="AA257" s="1"/>
      <c r="AB257" s="1"/>
      <c r="AC257" s="1"/>
      <c r="AD257" s="1"/>
      <c r="AE257" s="1"/>
      <c r="AF25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57" s="1"/>
    </row>
    <row r="258" spans="1:33" ht="43.5" hidden="1" x14ac:dyDescent="0.35">
      <c r="A258" s="1" t="s">
        <v>531</v>
      </c>
      <c r="B258" s="7" t="s">
        <v>532</v>
      </c>
      <c r="C258" t="s">
        <v>268</v>
      </c>
      <c r="E258" s="1" t="b">
        <v>0</v>
      </c>
      <c r="J258" s="1"/>
      <c r="K258" s="1"/>
      <c r="L258" s="1" t="b">
        <f>IF(OR(Table1[[#This Row],[Does not regard DAIC-WOZ]]=TRUE,Table1[[#This Row],[Does not use MAE]]=TRUE,Table1[[#This Row],[Does not introduce new model]]=TRUE,Table1[[#This Row],[Not in English]]=TRUE,Table1[[#This Row],[Not retrieved]]=TRUE),TRUE,FALSE)</f>
        <v>0</v>
      </c>
      <c r="M258" s="1" t="s">
        <v>753</v>
      </c>
      <c r="N258" s="1" t="s">
        <v>779</v>
      </c>
      <c r="O258" s="1" t="s">
        <v>788</v>
      </c>
      <c r="P258" s="1" t="s">
        <v>936</v>
      </c>
      <c r="Q258" s="1" t="s">
        <v>753</v>
      </c>
      <c r="R258" s="1" t="s">
        <v>753</v>
      </c>
      <c r="S258" s="1"/>
      <c r="T258" s="1" t="s">
        <v>775</v>
      </c>
      <c r="U258" s="1" t="s">
        <v>753</v>
      </c>
      <c r="V258" s="1" t="s">
        <v>753</v>
      </c>
      <c r="W258" s="1" t="s">
        <v>753</v>
      </c>
      <c r="X258" s="1">
        <v>4.1100000000000003</v>
      </c>
      <c r="Y258" s="1">
        <v>5.03</v>
      </c>
      <c r="Z258" s="1" t="s">
        <v>753</v>
      </c>
      <c r="AA258" s="1" t="s">
        <v>773</v>
      </c>
      <c r="AB258" s="1" t="s">
        <v>773</v>
      </c>
      <c r="AC258" s="1" t="s">
        <v>773</v>
      </c>
      <c r="AD258" s="1" t="s">
        <v>773</v>
      </c>
      <c r="AE258" s="1"/>
      <c r="AF258"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58" t="s">
        <v>937</v>
      </c>
    </row>
    <row r="259" spans="1:33" ht="116" hidden="1" x14ac:dyDescent="0.35">
      <c r="A259" s="1" t="s">
        <v>533</v>
      </c>
      <c r="B259" s="7" t="s">
        <v>534</v>
      </c>
      <c r="C259" t="s">
        <v>268</v>
      </c>
      <c r="E259" s="1" t="b">
        <v>0</v>
      </c>
      <c r="J259" s="1"/>
      <c r="K259" s="1"/>
      <c r="L259" s="1" t="b">
        <f>IF(OR(Table1[[#This Row],[Does not regard DAIC-WOZ]]=TRUE,Table1[[#This Row],[Does not use MAE]]=TRUE,Table1[[#This Row],[Does not introduce new model]]=TRUE,Table1[[#This Row],[Not in English]]=TRUE,Table1[[#This Row],[Not retrieved]]=TRUE),TRUE,FALSE)</f>
        <v>0</v>
      </c>
      <c r="M259" s="1" t="s">
        <v>905</v>
      </c>
      <c r="N259" s="1" t="s">
        <v>753</v>
      </c>
      <c r="O259" s="1" t="s">
        <v>788</v>
      </c>
      <c r="P259" s="1" t="s">
        <v>753</v>
      </c>
      <c r="Q259" s="1" t="s">
        <v>753</v>
      </c>
      <c r="R259" s="1" t="s">
        <v>906</v>
      </c>
      <c r="S259" s="1"/>
      <c r="T259" s="1" t="s">
        <v>775</v>
      </c>
      <c r="U259" s="1" t="s">
        <v>753</v>
      </c>
      <c r="V259" s="1" t="s">
        <v>753</v>
      </c>
      <c r="W259" s="1" t="s">
        <v>753</v>
      </c>
      <c r="X259" s="1">
        <v>3.23</v>
      </c>
      <c r="Y259" s="1">
        <v>3.96</v>
      </c>
      <c r="Z259" s="1" t="s">
        <v>753</v>
      </c>
      <c r="AA259" s="1" t="s">
        <v>773</v>
      </c>
      <c r="AB259" s="1" t="s">
        <v>773</v>
      </c>
      <c r="AC259" s="1" t="s">
        <v>773</v>
      </c>
      <c r="AD259" s="1" t="s">
        <v>773</v>
      </c>
      <c r="AE259" s="1"/>
      <c r="AF259"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259" t="s">
        <v>907</v>
      </c>
    </row>
    <row r="260" spans="1:33" ht="29" hidden="1" x14ac:dyDescent="0.35">
      <c r="A260" s="1" t="s">
        <v>535</v>
      </c>
      <c r="B260" s="7" t="s">
        <v>536</v>
      </c>
      <c r="C260" t="s">
        <v>268</v>
      </c>
      <c r="D260" s="1"/>
      <c r="E260" s="1" t="b">
        <v>0</v>
      </c>
      <c r="F260" s="1" t="s">
        <v>730</v>
      </c>
      <c r="G260" s="1" t="b">
        <v>1</v>
      </c>
      <c r="J260" s="1"/>
      <c r="K260" s="1"/>
      <c r="L260" s="1" t="b">
        <f>IF(OR(Table1[[#This Row],[Does not regard DAIC-WOZ]]=TRUE,Table1[[#This Row],[Does not use MAE]]=TRUE,Table1[[#This Row],[Does not introduce new model]]=TRUE,Table1[[#This Row],[Not in English]]=TRUE,Table1[[#This Row],[Not retrieved]]=TRUE),TRUE,FALSE)</f>
        <v>1</v>
      </c>
      <c r="M260" s="1"/>
      <c r="N260" s="1"/>
      <c r="O260" s="1"/>
      <c r="P260" s="1"/>
      <c r="Q260" s="1"/>
      <c r="R260" s="1"/>
      <c r="S260" s="1"/>
      <c r="T260" s="1"/>
      <c r="U260" s="1"/>
      <c r="V260" s="1"/>
      <c r="W260" s="1"/>
      <c r="X260" s="1"/>
      <c r="Y260" s="1"/>
      <c r="Z260" s="1"/>
      <c r="AA260" s="1"/>
      <c r="AB260" s="1"/>
      <c r="AC260" s="1"/>
      <c r="AD260" s="1"/>
      <c r="AE260" s="1"/>
      <c r="AF26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0" s="1"/>
    </row>
    <row r="261" spans="1:33" ht="29" hidden="1" x14ac:dyDescent="0.35">
      <c r="A261" s="1" t="s">
        <v>537</v>
      </c>
      <c r="B261" s="7" t="s">
        <v>538</v>
      </c>
      <c r="C261" t="s">
        <v>268</v>
      </c>
      <c r="E261" s="1" t="b">
        <v>1</v>
      </c>
      <c r="J261" s="1"/>
      <c r="K261" s="1"/>
      <c r="L261" s="1" t="b">
        <f>IF(OR(Table1[[#This Row],[Does not regard DAIC-WOZ]]=TRUE,Table1[[#This Row],[Does not use MAE]]=TRUE,Table1[[#This Row],[Does not introduce new model]]=TRUE,Table1[[#This Row],[Not in English]]=TRUE,Table1[[#This Row],[Not retrieved]]=TRUE),TRUE,FALSE)</f>
        <v>0</v>
      </c>
      <c r="M261" s="1"/>
      <c r="N261" s="1"/>
      <c r="O261" s="1"/>
      <c r="P261" s="1"/>
      <c r="Q261" s="1"/>
      <c r="R261" s="1"/>
      <c r="S261" s="1"/>
      <c r="T261" s="1"/>
      <c r="U261" s="1"/>
      <c r="V261" s="1"/>
      <c r="W261" s="1"/>
      <c r="X261" s="1"/>
      <c r="Y261" s="1"/>
      <c r="Z261" s="1"/>
      <c r="AA261" s="1"/>
      <c r="AB261" s="1"/>
      <c r="AC261" s="1"/>
      <c r="AD261" s="1"/>
      <c r="AE261" s="1"/>
      <c r="AF26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1" s="1"/>
    </row>
    <row r="262" spans="1:33" hidden="1" x14ac:dyDescent="0.35">
      <c r="A262" s="1" t="s">
        <v>539</v>
      </c>
      <c r="B262" s="7" t="s">
        <v>540</v>
      </c>
      <c r="C262" t="s">
        <v>268</v>
      </c>
      <c r="E262" s="1" t="b">
        <v>1</v>
      </c>
      <c r="J262" s="1"/>
      <c r="K262" s="1"/>
      <c r="L262" s="1" t="b">
        <f>IF(OR(Table1[[#This Row],[Does not regard DAIC-WOZ]]=TRUE,Table1[[#This Row],[Does not use MAE]]=TRUE,Table1[[#This Row],[Does not introduce new model]]=TRUE,Table1[[#This Row],[Not in English]]=TRUE,Table1[[#This Row],[Not retrieved]]=TRUE),TRUE,FALSE)</f>
        <v>0</v>
      </c>
      <c r="M262" s="1"/>
      <c r="N262" s="1"/>
      <c r="O262" s="1"/>
      <c r="P262" s="1"/>
      <c r="Q262" s="1"/>
      <c r="R262" s="1"/>
      <c r="S262" s="1"/>
      <c r="T262" s="1"/>
      <c r="U262" s="1"/>
      <c r="V262" s="1"/>
      <c r="W262" s="1"/>
      <c r="X262" s="1"/>
      <c r="Y262" s="1"/>
      <c r="Z262" s="1"/>
      <c r="AA262" s="1"/>
      <c r="AB262" s="1"/>
      <c r="AC262" s="1"/>
      <c r="AD262" s="1"/>
      <c r="AE262" s="1"/>
      <c r="AF26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2" s="1"/>
    </row>
    <row r="263" spans="1:33" ht="29" hidden="1" x14ac:dyDescent="0.35">
      <c r="A263" s="1" t="s">
        <v>541</v>
      </c>
      <c r="B263" s="7" t="s">
        <v>542</v>
      </c>
      <c r="C263" t="s">
        <v>268</v>
      </c>
      <c r="E263" s="1" t="b">
        <v>1</v>
      </c>
      <c r="J263" s="1"/>
      <c r="K263" s="1"/>
      <c r="L263" s="1" t="b">
        <f>IF(OR(Table1[[#This Row],[Does not regard DAIC-WOZ]]=TRUE,Table1[[#This Row],[Does not use MAE]]=TRUE,Table1[[#This Row],[Does not introduce new model]]=TRUE,Table1[[#This Row],[Not in English]]=TRUE,Table1[[#This Row],[Not retrieved]]=TRUE),TRUE,FALSE)</f>
        <v>0</v>
      </c>
      <c r="M263" s="1"/>
      <c r="N263" s="1"/>
      <c r="O263" s="1"/>
      <c r="P263" s="1"/>
      <c r="Q263" s="1"/>
      <c r="R263" s="1"/>
      <c r="S263" s="1"/>
      <c r="T263" s="1"/>
      <c r="U263" s="1"/>
      <c r="V263" s="1"/>
      <c r="W263" s="1"/>
      <c r="X263" s="1"/>
      <c r="Y263" s="1"/>
      <c r="Z263" s="1"/>
      <c r="AA263" s="1"/>
      <c r="AB263" s="1"/>
      <c r="AC263" s="1"/>
      <c r="AD263" s="1"/>
      <c r="AE263" s="1"/>
      <c r="AF26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3" s="1"/>
    </row>
    <row r="264" spans="1:33" ht="43.5" hidden="1" x14ac:dyDescent="0.35">
      <c r="A264" s="1" t="s">
        <v>543</v>
      </c>
      <c r="B264" s="7" t="s">
        <v>544</v>
      </c>
      <c r="C264" t="s">
        <v>268</v>
      </c>
      <c r="E264" s="1" t="b">
        <v>1</v>
      </c>
      <c r="J264" s="1"/>
      <c r="K264" s="1"/>
      <c r="L264" s="1" t="b">
        <f>IF(OR(Table1[[#This Row],[Does not regard DAIC-WOZ]]=TRUE,Table1[[#This Row],[Does not use MAE]]=TRUE,Table1[[#This Row],[Does not introduce new model]]=TRUE,Table1[[#This Row],[Not in English]]=TRUE,Table1[[#This Row],[Not retrieved]]=TRUE),TRUE,FALSE)</f>
        <v>0</v>
      </c>
      <c r="M264" s="1"/>
      <c r="N264" s="1"/>
      <c r="O264" s="1"/>
      <c r="P264" s="1"/>
      <c r="Q264" s="1"/>
      <c r="R264" s="1"/>
      <c r="S264" s="1"/>
      <c r="T264" s="1"/>
      <c r="U264" s="1"/>
      <c r="V264" s="1"/>
      <c r="W264" s="1"/>
      <c r="X264" s="1"/>
      <c r="Y264" s="1"/>
      <c r="Z264" s="1"/>
      <c r="AA264" s="1"/>
      <c r="AB264" s="1"/>
      <c r="AC264" s="1"/>
      <c r="AD264" s="1"/>
      <c r="AE264" s="1"/>
      <c r="AF26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4" s="1"/>
    </row>
    <row r="265" spans="1:33" ht="43.5" hidden="1" x14ac:dyDescent="0.35">
      <c r="A265" s="1" t="s">
        <v>545</v>
      </c>
      <c r="B265" s="7" t="s">
        <v>546</v>
      </c>
      <c r="C265" t="s">
        <v>268</v>
      </c>
      <c r="E265" s="1" t="b">
        <v>1</v>
      </c>
      <c r="J265" s="1"/>
      <c r="K265" s="1"/>
      <c r="L265" s="1" t="b">
        <f>IF(OR(Table1[[#This Row],[Does not regard DAIC-WOZ]]=TRUE,Table1[[#This Row],[Does not use MAE]]=TRUE,Table1[[#This Row],[Does not introduce new model]]=TRUE,Table1[[#This Row],[Not in English]]=TRUE,Table1[[#This Row],[Not retrieved]]=TRUE),TRUE,FALSE)</f>
        <v>0</v>
      </c>
      <c r="M265" s="1"/>
      <c r="N265" s="1"/>
      <c r="O265" s="1"/>
      <c r="P265" s="1"/>
      <c r="Q265" s="1"/>
      <c r="R265" s="1"/>
      <c r="S265" s="1"/>
      <c r="T265" s="1"/>
      <c r="U265" s="1"/>
      <c r="V265" s="1"/>
      <c r="W265" s="1"/>
      <c r="X265" s="1"/>
      <c r="Y265" s="1"/>
      <c r="Z265" s="1"/>
      <c r="AA265" s="1"/>
      <c r="AB265" s="1"/>
      <c r="AC265" s="1"/>
      <c r="AD265" s="1"/>
      <c r="AE265" s="1"/>
      <c r="AF26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5" s="1"/>
    </row>
    <row r="266" spans="1:33" ht="29" hidden="1" x14ac:dyDescent="0.35">
      <c r="A266" s="1" t="s">
        <v>547</v>
      </c>
      <c r="B266" s="7" t="s">
        <v>548</v>
      </c>
      <c r="C266" t="s">
        <v>268</v>
      </c>
      <c r="D266" s="1"/>
      <c r="E266" s="1" t="b">
        <v>0</v>
      </c>
      <c r="F266" s="1" t="s">
        <v>916</v>
      </c>
      <c r="G266" s="1" t="b">
        <v>1</v>
      </c>
      <c r="J266" s="1"/>
      <c r="K266" s="1"/>
      <c r="L266" s="1" t="b">
        <f>IF(OR(Table1[[#This Row],[Does not regard DAIC-WOZ]]=TRUE,Table1[[#This Row],[Does not use MAE]]=TRUE,Table1[[#This Row],[Does not introduce new model]]=TRUE,Table1[[#This Row],[Not in English]]=TRUE,Table1[[#This Row],[Not retrieved]]=TRUE),TRUE,FALSE)</f>
        <v>1</v>
      </c>
      <c r="M266" s="1"/>
      <c r="N266" s="1"/>
      <c r="O266" s="1"/>
      <c r="P266" s="1"/>
      <c r="Q266" s="1"/>
      <c r="R266" s="1"/>
      <c r="S266" s="1"/>
      <c r="T266" s="1"/>
      <c r="U266" s="1"/>
      <c r="V266" s="1"/>
      <c r="W266" s="1"/>
      <c r="X266" s="1"/>
      <c r="Y266" s="1"/>
      <c r="Z266" s="1"/>
      <c r="AA266" s="1"/>
      <c r="AB266" s="1"/>
      <c r="AC266" s="1"/>
      <c r="AD266" s="1"/>
      <c r="AE266" s="1"/>
      <c r="AF26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6" s="1"/>
    </row>
    <row r="267" spans="1:33" ht="29" hidden="1" x14ac:dyDescent="0.35">
      <c r="A267" s="1" t="s">
        <v>549</v>
      </c>
      <c r="B267" s="7" t="s">
        <v>550</v>
      </c>
      <c r="C267" t="s">
        <v>268</v>
      </c>
      <c r="E267" s="1" t="b">
        <v>1</v>
      </c>
      <c r="J267" s="1"/>
      <c r="K267" s="1"/>
      <c r="L267" s="1" t="b">
        <f>IF(OR(Table1[[#This Row],[Does not regard DAIC-WOZ]]=TRUE,Table1[[#This Row],[Does not use MAE]]=TRUE,Table1[[#This Row],[Does not introduce new model]]=TRUE,Table1[[#This Row],[Not in English]]=TRUE,Table1[[#This Row],[Not retrieved]]=TRUE),TRUE,FALSE)</f>
        <v>0</v>
      </c>
      <c r="M267" s="1"/>
      <c r="N267" s="1"/>
      <c r="O267" s="1"/>
      <c r="P267" s="1"/>
      <c r="Q267" s="1"/>
      <c r="R267" s="1"/>
      <c r="S267" s="1"/>
      <c r="T267" s="1"/>
      <c r="U267" s="1"/>
      <c r="V267" s="1"/>
      <c r="W267" s="1"/>
      <c r="X267" s="1"/>
      <c r="Y267" s="1"/>
      <c r="Z267" s="1"/>
      <c r="AA267" s="1"/>
      <c r="AB267" s="1"/>
      <c r="AC267" s="1"/>
      <c r="AD267" s="1"/>
      <c r="AE267" s="1"/>
      <c r="AF26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7" s="1"/>
    </row>
    <row r="268" spans="1:33" ht="43.5" hidden="1" x14ac:dyDescent="0.35">
      <c r="A268" s="1" t="s">
        <v>551</v>
      </c>
      <c r="B268" s="7" t="s">
        <v>552</v>
      </c>
      <c r="C268" t="s">
        <v>268</v>
      </c>
      <c r="E268" s="1" t="b">
        <v>1</v>
      </c>
      <c r="J268" s="1"/>
      <c r="K268" s="1"/>
      <c r="L268" s="1" t="b">
        <f>IF(OR(Table1[[#This Row],[Does not regard DAIC-WOZ]]=TRUE,Table1[[#This Row],[Does not use MAE]]=TRUE,Table1[[#This Row],[Does not introduce new model]]=TRUE,Table1[[#This Row],[Not in English]]=TRUE,Table1[[#This Row],[Not retrieved]]=TRUE),TRUE,FALSE)</f>
        <v>0</v>
      </c>
      <c r="M268" s="1"/>
      <c r="N268" s="1"/>
      <c r="O268" s="1"/>
      <c r="P268" s="1"/>
      <c r="Q268" s="1"/>
      <c r="R268" s="1"/>
      <c r="S268" s="1"/>
      <c r="T268" s="1"/>
      <c r="U268" s="1"/>
      <c r="V268" s="1"/>
      <c r="W268" s="1"/>
      <c r="X268" s="1"/>
      <c r="Y268" s="1"/>
      <c r="Z268" s="1"/>
      <c r="AA268" s="1"/>
      <c r="AB268" s="1"/>
      <c r="AC268" s="1"/>
      <c r="AD268" s="1"/>
      <c r="AE268" s="1"/>
      <c r="AF26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8" s="1"/>
    </row>
    <row r="269" spans="1:33" ht="29" hidden="1" x14ac:dyDescent="0.35">
      <c r="A269" s="1" t="s">
        <v>553</v>
      </c>
      <c r="B269" s="7" t="s">
        <v>554</v>
      </c>
      <c r="C269" t="s">
        <v>268</v>
      </c>
      <c r="E269" s="1" t="b">
        <v>1</v>
      </c>
      <c r="J269" s="1"/>
      <c r="K269" s="1"/>
      <c r="L269" s="1" t="b">
        <f>IF(OR(Table1[[#This Row],[Does not regard DAIC-WOZ]]=TRUE,Table1[[#This Row],[Does not use MAE]]=TRUE,Table1[[#This Row],[Does not introduce new model]]=TRUE,Table1[[#This Row],[Not in English]]=TRUE,Table1[[#This Row],[Not retrieved]]=TRUE),TRUE,FALSE)</f>
        <v>0</v>
      </c>
      <c r="M269" s="1"/>
      <c r="N269" s="1"/>
      <c r="O269" s="1"/>
      <c r="P269" s="1"/>
      <c r="Q269" s="1"/>
      <c r="R269" s="1"/>
      <c r="S269" s="1"/>
      <c r="T269" s="1"/>
      <c r="U269" s="1"/>
      <c r="V269" s="1"/>
      <c r="W269" s="1"/>
      <c r="X269" s="1"/>
      <c r="Y269" s="1"/>
      <c r="Z269" s="1"/>
      <c r="AA269" s="1"/>
      <c r="AB269" s="1"/>
      <c r="AC269" s="1"/>
      <c r="AD269" s="1"/>
      <c r="AE269" s="1"/>
      <c r="AF26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69" s="1"/>
    </row>
    <row r="270" spans="1:33" ht="43.5" hidden="1" x14ac:dyDescent="0.35">
      <c r="A270" s="1" t="s">
        <v>555</v>
      </c>
      <c r="B270" s="7" t="s">
        <v>556</v>
      </c>
      <c r="C270" t="s">
        <v>268</v>
      </c>
      <c r="E270" s="1" t="b">
        <v>1</v>
      </c>
      <c r="J270" s="1"/>
      <c r="K270" s="1"/>
      <c r="L270" s="1" t="b">
        <f>IF(OR(Table1[[#This Row],[Does not regard DAIC-WOZ]]=TRUE,Table1[[#This Row],[Does not use MAE]]=TRUE,Table1[[#This Row],[Does not introduce new model]]=TRUE,Table1[[#This Row],[Not in English]]=TRUE,Table1[[#This Row],[Not retrieved]]=TRUE),TRUE,FALSE)</f>
        <v>0</v>
      </c>
      <c r="M270" s="1"/>
      <c r="N270" s="1"/>
      <c r="O270" s="1"/>
      <c r="P270" s="1"/>
      <c r="Q270" s="1"/>
      <c r="R270" s="1"/>
      <c r="S270" s="1"/>
      <c r="T270" s="1"/>
      <c r="U270" s="1"/>
      <c r="V270" s="1"/>
      <c r="W270" s="1"/>
      <c r="X270" s="1"/>
      <c r="Y270" s="1"/>
      <c r="Z270" s="1"/>
      <c r="AA270" s="1"/>
      <c r="AB270" s="1"/>
      <c r="AC270" s="1"/>
      <c r="AD270" s="1"/>
      <c r="AE270" s="1"/>
      <c r="AF27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0" s="1"/>
    </row>
    <row r="271" spans="1:33" ht="29" hidden="1" x14ac:dyDescent="0.35">
      <c r="A271" s="1" t="s">
        <v>557</v>
      </c>
      <c r="B271" s="7" t="s">
        <v>558</v>
      </c>
      <c r="C271" t="s">
        <v>268</v>
      </c>
      <c r="E271" s="1" t="b">
        <v>1</v>
      </c>
      <c r="J271" s="1"/>
      <c r="K271" s="1"/>
      <c r="L271" s="1" t="b">
        <f>IF(OR(Table1[[#This Row],[Does not regard DAIC-WOZ]]=TRUE,Table1[[#This Row],[Does not use MAE]]=TRUE,Table1[[#This Row],[Does not introduce new model]]=TRUE,Table1[[#This Row],[Not in English]]=TRUE,Table1[[#This Row],[Not retrieved]]=TRUE),TRUE,FALSE)</f>
        <v>0</v>
      </c>
      <c r="M271" s="1"/>
      <c r="N271" s="1"/>
      <c r="O271" s="1"/>
      <c r="P271" s="1"/>
      <c r="Q271" s="1"/>
      <c r="R271" s="1"/>
      <c r="S271" s="1"/>
      <c r="T271" s="1"/>
      <c r="U271" s="1"/>
      <c r="V271" s="1"/>
      <c r="W271" s="1"/>
      <c r="X271" s="1"/>
      <c r="Y271" s="1"/>
      <c r="Z271" s="1"/>
      <c r="AA271" s="1"/>
      <c r="AB271" s="1"/>
      <c r="AC271" s="1"/>
      <c r="AD271" s="1"/>
      <c r="AE271" s="1"/>
      <c r="AF27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1" s="1"/>
    </row>
    <row r="272" spans="1:33" ht="29" hidden="1" x14ac:dyDescent="0.35">
      <c r="A272" s="1" t="s">
        <v>559</v>
      </c>
      <c r="B272" s="7" t="s">
        <v>560</v>
      </c>
      <c r="C272" t="s">
        <v>268</v>
      </c>
      <c r="E272" s="1" t="b">
        <v>1</v>
      </c>
      <c r="J272" s="1"/>
      <c r="K272" s="1"/>
      <c r="L272" s="1" t="b">
        <f>IF(OR(Table1[[#This Row],[Does not regard DAIC-WOZ]]=TRUE,Table1[[#This Row],[Does not use MAE]]=TRUE,Table1[[#This Row],[Does not introduce new model]]=TRUE,Table1[[#This Row],[Not in English]]=TRUE,Table1[[#This Row],[Not retrieved]]=TRUE),TRUE,FALSE)</f>
        <v>0</v>
      </c>
      <c r="M272" s="1"/>
      <c r="N272" s="1"/>
      <c r="O272" s="1"/>
      <c r="P272" s="1"/>
      <c r="Q272" s="1"/>
      <c r="R272" s="1"/>
      <c r="S272" s="1"/>
      <c r="T272" s="1"/>
      <c r="U272" s="1"/>
      <c r="V272" s="1"/>
      <c r="W272" s="1"/>
      <c r="X272" s="1"/>
      <c r="Y272" s="1"/>
      <c r="Z272" s="1"/>
      <c r="AA272" s="1"/>
      <c r="AB272" s="1"/>
      <c r="AC272" s="1"/>
      <c r="AD272" s="1"/>
      <c r="AE272" s="1"/>
      <c r="AF27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2" s="1"/>
    </row>
    <row r="273" spans="1:33" ht="29" hidden="1" x14ac:dyDescent="0.35">
      <c r="A273" s="1" t="s">
        <v>561</v>
      </c>
      <c r="B273" s="7" t="s">
        <v>562</v>
      </c>
      <c r="C273" t="s">
        <v>268</v>
      </c>
      <c r="E273" s="1" t="b">
        <v>1</v>
      </c>
      <c r="J273" s="1"/>
      <c r="K273" s="1"/>
      <c r="L273" s="1" t="b">
        <f>IF(OR(Table1[[#This Row],[Does not regard DAIC-WOZ]]=TRUE,Table1[[#This Row],[Does not use MAE]]=TRUE,Table1[[#This Row],[Does not introduce new model]]=TRUE,Table1[[#This Row],[Not in English]]=TRUE,Table1[[#This Row],[Not retrieved]]=TRUE),TRUE,FALSE)</f>
        <v>0</v>
      </c>
      <c r="M273" s="1"/>
      <c r="N273" s="1"/>
      <c r="O273" s="1"/>
      <c r="P273" s="1"/>
      <c r="Q273" s="1"/>
      <c r="R273" s="1"/>
      <c r="S273" s="1"/>
      <c r="T273" s="1"/>
      <c r="U273" s="1"/>
      <c r="V273" s="1"/>
      <c r="W273" s="1"/>
      <c r="X273" s="1"/>
      <c r="Y273" s="1"/>
      <c r="Z273" s="1"/>
      <c r="AA273" s="1"/>
      <c r="AB273" s="1"/>
      <c r="AC273" s="1"/>
      <c r="AD273" s="1"/>
      <c r="AE273" s="1"/>
      <c r="AF27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3" s="1"/>
    </row>
    <row r="274" spans="1:33" ht="29" hidden="1" x14ac:dyDescent="0.35">
      <c r="A274" s="1" t="s">
        <v>563</v>
      </c>
      <c r="B274" s="7" t="s">
        <v>564</v>
      </c>
      <c r="C274" t="s">
        <v>268</v>
      </c>
      <c r="D274" s="1"/>
      <c r="E274" s="1" t="b">
        <v>0</v>
      </c>
      <c r="F274" s="1" t="s">
        <v>765</v>
      </c>
      <c r="G274" s="1" t="b">
        <v>1</v>
      </c>
      <c r="J274" s="1"/>
      <c r="K274" s="1"/>
      <c r="L274" s="1" t="b">
        <f>IF(OR(Table1[[#This Row],[Does not regard DAIC-WOZ]]=TRUE,Table1[[#This Row],[Does not use MAE]]=TRUE,Table1[[#This Row],[Does not introduce new model]]=TRUE,Table1[[#This Row],[Not in English]]=TRUE,Table1[[#This Row],[Not retrieved]]=TRUE),TRUE,FALSE)</f>
        <v>1</v>
      </c>
      <c r="M274" s="1"/>
      <c r="N274" s="1"/>
      <c r="O274" s="1"/>
      <c r="P274" s="1"/>
      <c r="Q274" s="1"/>
      <c r="R274" s="1"/>
      <c r="S274" s="1"/>
      <c r="T274" s="1"/>
      <c r="U274" s="1"/>
      <c r="V274" s="1"/>
      <c r="W274" s="1"/>
      <c r="X274" s="1"/>
      <c r="Y274" s="1"/>
      <c r="Z274" s="1"/>
      <c r="AA274" s="1"/>
      <c r="AB274" s="1"/>
      <c r="AC274" s="1"/>
      <c r="AD274" s="1"/>
      <c r="AE274" s="1"/>
      <c r="AF27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4" s="1"/>
    </row>
    <row r="275" spans="1:33" ht="29" hidden="1" x14ac:dyDescent="0.35">
      <c r="A275" s="1" t="s">
        <v>565</v>
      </c>
      <c r="B275" s="7" t="s">
        <v>566</v>
      </c>
      <c r="C275" t="s">
        <v>268</v>
      </c>
      <c r="E275" s="1" t="b">
        <v>1</v>
      </c>
      <c r="J275" s="1"/>
      <c r="K275" s="1"/>
      <c r="L275" s="1" t="b">
        <f>IF(OR(Table1[[#This Row],[Does not regard DAIC-WOZ]]=TRUE,Table1[[#This Row],[Does not use MAE]]=TRUE,Table1[[#This Row],[Does not introduce new model]]=TRUE,Table1[[#This Row],[Not in English]]=TRUE,Table1[[#This Row],[Not retrieved]]=TRUE),TRUE,FALSE)</f>
        <v>0</v>
      </c>
      <c r="M275" s="1"/>
      <c r="N275" s="1"/>
      <c r="O275" s="1"/>
      <c r="P275" s="1"/>
      <c r="Q275" s="1"/>
      <c r="R275" s="1"/>
      <c r="S275" s="1"/>
      <c r="T275" s="1"/>
      <c r="U275" s="1"/>
      <c r="V275" s="1"/>
      <c r="W275" s="1"/>
      <c r="X275" s="1"/>
      <c r="Y275" s="1"/>
      <c r="Z275" s="1"/>
      <c r="AA275" s="1"/>
      <c r="AB275" s="1"/>
      <c r="AC275" s="1"/>
      <c r="AD275" s="1"/>
      <c r="AE275" s="1"/>
      <c r="AF27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5" s="1"/>
    </row>
    <row r="276" spans="1:33" hidden="1" x14ac:dyDescent="0.35">
      <c r="A276" s="1" t="s">
        <v>567</v>
      </c>
      <c r="B276" s="7" t="s">
        <v>568</v>
      </c>
      <c r="C276" t="s">
        <v>268</v>
      </c>
      <c r="E276" s="1" t="b">
        <v>0</v>
      </c>
      <c r="J276" s="1"/>
      <c r="K276" s="1" t="b">
        <v>1</v>
      </c>
      <c r="L276" s="1" t="b">
        <f>IF(OR(Table1[[#This Row],[Does not regard DAIC-WOZ]]=TRUE,Table1[[#This Row],[Does not use MAE]]=TRUE,Table1[[#This Row],[Does not introduce new model]]=TRUE,Table1[[#This Row],[Not in English]]=TRUE,Table1[[#This Row],[Not retrieved]]=TRUE),TRUE,FALSE)</f>
        <v>1</v>
      </c>
      <c r="M276" s="1" t="s">
        <v>756</v>
      </c>
      <c r="N276" s="1"/>
      <c r="O276" s="1"/>
      <c r="P276" s="1"/>
      <c r="Q276" s="1"/>
      <c r="R276" s="1"/>
      <c r="S276" s="1"/>
      <c r="T276" s="1"/>
      <c r="U276" s="1"/>
      <c r="V276" s="1"/>
      <c r="W276" s="1"/>
      <c r="X276" s="1"/>
      <c r="Y276" s="1"/>
      <c r="Z276" s="1"/>
      <c r="AA276" s="1"/>
      <c r="AB276" s="1"/>
      <c r="AC276" s="1"/>
      <c r="AD276" s="1"/>
      <c r="AE276" s="1"/>
      <c r="AF27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277" spans="1:33" ht="29" hidden="1" x14ac:dyDescent="0.35">
      <c r="A277" s="1" t="s">
        <v>569</v>
      </c>
      <c r="B277" s="7" t="s">
        <v>570</v>
      </c>
      <c r="C277" t="s">
        <v>268</v>
      </c>
      <c r="E277" s="1" t="b">
        <v>1</v>
      </c>
      <c r="J277" s="1"/>
      <c r="K277" s="1"/>
      <c r="L277" s="1" t="b">
        <f>IF(OR(Table1[[#This Row],[Does not regard DAIC-WOZ]]=TRUE,Table1[[#This Row],[Does not use MAE]]=TRUE,Table1[[#This Row],[Does not introduce new model]]=TRUE,Table1[[#This Row],[Not in English]]=TRUE,Table1[[#This Row],[Not retrieved]]=TRUE),TRUE,FALSE)</f>
        <v>0</v>
      </c>
      <c r="M277" s="1"/>
      <c r="N277" s="1"/>
      <c r="O277" s="1"/>
      <c r="P277" s="1"/>
      <c r="Q277" s="1"/>
      <c r="R277" s="1"/>
      <c r="S277" s="1"/>
      <c r="T277" s="1"/>
      <c r="U277" s="1"/>
      <c r="V277" s="1"/>
      <c r="W277" s="1"/>
      <c r="X277" s="1"/>
      <c r="Y277" s="1"/>
      <c r="Z277" s="1"/>
      <c r="AA277" s="1"/>
      <c r="AB277" s="1"/>
      <c r="AC277" s="1"/>
      <c r="AD277" s="1"/>
      <c r="AE277" s="1"/>
      <c r="AF27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7" s="1"/>
    </row>
    <row r="278" spans="1:33" ht="43.5" hidden="1" x14ac:dyDescent="0.35">
      <c r="A278" s="1" t="s">
        <v>571</v>
      </c>
      <c r="B278" s="7" t="s">
        <v>572</v>
      </c>
      <c r="C278" t="s">
        <v>268</v>
      </c>
      <c r="E278" s="1" t="b">
        <v>1</v>
      </c>
      <c r="J278" s="1"/>
      <c r="K278" s="1"/>
      <c r="L278" s="1" t="b">
        <f>IF(OR(Table1[[#This Row],[Does not regard DAIC-WOZ]]=TRUE,Table1[[#This Row],[Does not use MAE]]=TRUE,Table1[[#This Row],[Does not introduce new model]]=TRUE,Table1[[#This Row],[Not in English]]=TRUE,Table1[[#This Row],[Not retrieved]]=TRUE),TRUE,FALSE)</f>
        <v>0</v>
      </c>
      <c r="M278" s="1"/>
      <c r="N278" s="1"/>
      <c r="O278" s="1"/>
      <c r="P278" s="1"/>
      <c r="Q278" s="1"/>
      <c r="R278" s="1"/>
      <c r="S278" s="1"/>
      <c r="T278" s="1"/>
      <c r="U278" s="1"/>
      <c r="V278" s="1"/>
      <c r="W278" s="1"/>
      <c r="X278" s="1"/>
      <c r="Y278" s="1"/>
      <c r="Z278" s="1"/>
      <c r="AA278" s="1"/>
      <c r="AB278" s="1"/>
      <c r="AC278" s="1"/>
      <c r="AD278" s="1"/>
      <c r="AE278" s="1"/>
      <c r="AF27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8" s="1"/>
    </row>
    <row r="279" spans="1:33" ht="29" hidden="1" x14ac:dyDescent="0.35">
      <c r="A279" s="1" t="s">
        <v>573</v>
      </c>
      <c r="B279" s="7" t="s">
        <v>574</v>
      </c>
      <c r="C279" t="s">
        <v>268</v>
      </c>
      <c r="E279" s="1" t="b">
        <v>1</v>
      </c>
      <c r="J279" s="1"/>
      <c r="K279" s="1"/>
      <c r="L279" s="1" t="b">
        <f>IF(OR(Table1[[#This Row],[Does not regard DAIC-WOZ]]=TRUE,Table1[[#This Row],[Does not use MAE]]=TRUE,Table1[[#This Row],[Does not introduce new model]]=TRUE,Table1[[#This Row],[Not in English]]=TRUE,Table1[[#This Row],[Not retrieved]]=TRUE),TRUE,FALSE)</f>
        <v>0</v>
      </c>
      <c r="M279" s="1"/>
      <c r="N279" s="1"/>
      <c r="O279" s="1"/>
      <c r="P279" s="1"/>
      <c r="Q279" s="1"/>
      <c r="R279" s="1"/>
      <c r="S279" s="1"/>
      <c r="T279" s="1"/>
      <c r="U279" s="1"/>
      <c r="V279" s="1"/>
      <c r="W279" s="1"/>
      <c r="X279" s="1"/>
      <c r="Y279" s="1"/>
      <c r="Z279" s="1"/>
      <c r="AA279" s="1"/>
      <c r="AB279" s="1"/>
      <c r="AC279" s="1"/>
      <c r="AD279" s="1"/>
      <c r="AE279" s="1"/>
      <c r="AF27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79" s="1"/>
    </row>
    <row r="280" spans="1:33" ht="29" hidden="1" x14ac:dyDescent="0.35">
      <c r="A280" s="1" t="s">
        <v>575</v>
      </c>
      <c r="B280" s="7" t="s">
        <v>576</v>
      </c>
      <c r="C280" t="s">
        <v>268</v>
      </c>
      <c r="D280" s="1"/>
      <c r="E280" s="1" t="b">
        <v>0</v>
      </c>
      <c r="F280" s="1" t="s">
        <v>740</v>
      </c>
      <c r="G280" s="1" t="b">
        <v>1</v>
      </c>
      <c r="J280" s="1"/>
      <c r="K280" s="1"/>
      <c r="L280" s="1" t="b">
        <f>IF(OR(Table1[[#This Row],[Does not regard DAIC-WOZ]]=TRUE,Table1[[#This Row],[Does not use MAE]]=TRUE,Table1[[#This Row],[Does not introduce new model]]=TRUE,Table1[[#This Row],[Not in English]]=TRUE,Table1[[#This Row],[Not retrieved]]=TRUE),TRUE,FALSE)</f>
        <v>1</v>
      </c>
      <c r="M280" s="1"/>
      <c r="N280" s="1"/>
      <c r="O280" s="1"/>
      <c r="P280" s="1"/>
      <c r="Q280" s="1"/>
      <c r="R280" s="1"/>
      <c r="S280" s="1"/>
      <c r="T280" s="1"/>
      <c r="U280" s="1"/>
      <c r="V280" s="1"/>
      <c r="W280" s="1"/>
      <c r="X280" s="1"/>
      <c r="Y280" s="1"/>
      <c r="Z280" s="1"/>
      <c r="AA280" s="1"/>
      <c r="AB280" s="1"/>
      <c r="AC280" s="1"/>
      <c r="AD280" s="1"/>
      <c r="AE280" s="1"/>
      <c r="AF28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0" s="1"/>
    </row>
    <row r="281" spans="1:33" ht="29" hidden="1" x14ac:dyDescent="0.35">
      <c r="A281" s="1" t="s">
        <v>577</v>
      </c>
      <c r="B281" s="7" t="s">
        <v>578</v>
      </c>
      <c r="C281" t="s">
        <v>268</v>
      </c>
      <c r="D281" s="1"/>
      <c r="E281" s="1" t="b">
        <v>0</v>
      </c>
      <c r="F281" s="1" t="s">
        <v>741</v>
      </c>
      <c r="G281" s="1" t="b">
        <v>1</v>
      </c>
      <c r="J281" s="1"/>
      <c r="K281" s="1"/>
      <c r="L281" s="1" t="b">
        <f>IF(OR(Table1[[#This Row],[Does not regard DAIC-WOZ]]=TRUE,Table1[[#This Row],[Does not use MAE]]=TRUE,Table1[[#This Row],[Does not introduce new model]]=TRUE,Table1[[#This Row],[Not in English]]=TRUE,Table1[[#This Row],[Not retrieved]]=TRUE),TRUE,FALSE)</f>
        <v>1</v>
      </c>
      <c r="M281" s="1"/>
      <c r="N281" s="1"/>
      <c r="O281" s="1"/>
      <c r="P281" s="1"/>
      <c r="Q281" s="1"/>
      <c r="R281" s="1"/>
      <c r="S281" s="1"/>
      <c r="T281" s="1"/>
      <c r="U281" s="1"/>
      <c r="V281" s="1"/>
      <c r="W281" s="1"/>
      <c r="X281" s="1"/>
      <c r="Y281" s="1"/>
      <c r="Z281" s="1"/>
      <c r="AA281" s="1"/>
      <c r="AB281" s="1"/>
      <c r="AC281" s="1"/>
      <c r="AD281" s="1"/>
      <c r="AE281" s="1"/>
      <c r="AF28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1" s="1"/>
    </row>
    <row r="282" spans="1:33" ht="43.5" hidden="1" x14ac:dyDescent="0.35">
      <c r="A282" s="1" t="s">
        <v>579</v>
      </c>
      <c r="B282" s="7" t="s">
        <v>580</v>
      </c>
      <c r="C282" t="s">
        <v>268</v>
      </c>
      <c r="E282" s="1" t="b">
        <v>1</v>
      </c>
      <c r="J282" s="1"/>
      <c r="K282" s="1"/>
      <c r="L282" s="1" t="b">
        <f>IF(OR(Table1[[#This Row],[Does not regard DAIC-WOZ]]=TRUE,Table1[[#This Row],[Does not use MAE]]=TRUE,Table1[[#This Row],[Does not introduce new model]]=TRUE,Table1[[#This Row],[Not in English]]=TRUE,Table1[[#This Row],[Not retrieved]]=TRUE),TRUE,FALSE)</f>
        <v>0</v>
      </c>
      <c r="M282" s="1"/>
      <c r="N282" s="1"/>
      <c r="O282" s="1"/>
      <c r="P282" s="1"/>
      <c r="Q282" s="1"/>
      <c r="R282" s="1"/>
      <c r="S282" s="1"/>
      <c r="T282" s="1"/>
      <c r="U282" s="1"/>
      <c r="V282" s="1"/>
      <c r="W282" s="1"/>
      <c r="X282" s="1"/>
      <c r="Y282" s="1"/>
      <c r="Z282" s="1"/>
      <c r="AA282" s="1"/>
      <c r="AB282" s="1"/>
      <c r="AC282" s="1"/>
      <c r="AD282" s="1"/>
      <c r="AE282" s="1"/>
      <c r="AF28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2" s="1"/>
    </row>
    <row r="283" spans="1:33" ht="43.5" hidden="1" x14ac:dyDescent="0.35">
      <c r="A283" s="1" t="s">
        <v>581</v>
      </c>
      <c r="B283" s="7" t="s">
        <v>582</v>
      </c>
      <c r="C283" t="s">
        <v>268</v>
      </c>
      <c r="E283" s="1" t="b">
        <v>1</v>
      </c>
      <c r="J283" s="1"/>
      <c r="K283" s="1"/>
      <c r="L283" s="1" t="b">
        <f>IF(OR(Table1[[#This Row],[Does not regard DAIC-WOZ]]=TRUE,Table1[[#This Row],[Does not use MAE]]=TRUE,Table1[[#This Row],[Does not introduce new model]]=TRUE,Table1[[#This Row],[Not in English]]=TRUE,Table1[[#This Row],[Not retrieved]]=TRUE),TRUE,FALSE)</f>
        <v>0</v>
      </c>
      <c r="M283" s="1"/>
      <c r="N283" s="1"/>
      <c r="O283" s="1"/>
      <c r="P283" s="1"/>
      <c r="Q283" s="1"/>
      <c r="R283" s="1"/>
      <c r="S283" s="1"/>
      <c r="T283" s="1"/>
      <c r="U283" s="1"/>
      <c r="V283" s="1"/>
      <c r="W283" s="1"/>
      <c r="X283" s="1"/>
      <c r="Y283" s="1"/>
      <c r="Z283" s="1"/>
      <c r="AA283" s="1"/>
      <c r="AB283" s="1"/>
      <c r="AC283" s="1"/>
      <c r="AD283" s="1"/>
      <c r="AE283" s="1"/>
      <c r="AF28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3" s="1"/>
    </row>
    <row r="284" spans="1:33" ht="29" hidden="1" x14ac:dyDescent="0.35">
      <c r="A284" s="1" t="s">
        <v>583</v>
      </c>
      <c r="B284" s="7" t="s">
        <v>584</v>
      </c>
      <c r="C284" t="s">
        <v>268</v>
      </c>
      <c r="E284" s="1" t="b">
        <v>1</v>
      </c>
      <c r="J284" s="1"/>
      <c r="K284" s="1"/>
      <c r="L284" s="1" t="b">
        <f>IF(OR(Table1[[#This Row],[Does not regard DAIC-WOZ]]=TRUE,Table1[[#This Row],[Does not use MAE]]=TRUE,Table1[[#This Row],[Does not introduce new model]]=TRUE,Table1[[#This Row],[Not in English]]=TRUE,Table1[[#This Row],[Not retrieved]]=TRUE),TRUE,FALSE)</f>
        <v>0</v>
      </c>
      <c r="M284" s="1"/>
      <c r="N284" s="1"/>
      <c r="O284" s="1"/>
      <c r="P284" s="1"/>
      <c r="Q284" s="1"/>
      <c r="R284" s="1"/>
      <c r="S284" s="1"/>
      <c r="T284" s="1"/>
      <c r="U284" s="1"/>
      <c r="V284" s="1"/>
      <c r="W284" s="1"/>
      <c r="X284" s="1"/>
      <c r="Y284" s="1"/>
      <c r="Z284" s="1"/>
      <c r="AA284" s="1"/>
      <c r="AB284" s="1"/>
      <c r="AC284" s="1"/>
      <c r="AD284" s="1"/>
      <c r="AE284" s="1"/>
      <c r="AF28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4" s="1"/>
    </row>
    <row r="285" spans="1:33" ht="29" hidden="1" x14ac:dyDescent="0.35">
      <c r="A285" s="1" t="s">
        <v>585</v>
      </c>
      <c r="B285" s="7" t="s">
        <v>586</v>
      </c>
      <c r="C285" t="s">
        <v>268</v>
      </c>
      <c r="D285" s="1"/>
      <c r="E285" s="1" t="b">
        <v>0</v>
      </c>
      <c r="F285" s="1" t="s">
        <v>737</v>
      </c>
      <c r="G285" s="1" t="b">
        <v>1</v>
      </c>
      <c r="J285" s="1"/>
      <c r="K285" s="1"/>
      <c r="L285" s="1" t="b">
        <f>IF(OR(Table1[[#This Row],[Does not regard DAIC-WOZ]]=TRUE,Table1[[#This Row],[Does not use MAE]]=TRUE,Table1[[#This Row],[Does not introduce new model]]=TRUE,Table1[[#This Row],[Not in English]]=TRUE,Table1[[#This Row],[Not retrieved]]=TRUE),TRUE,FALSE)</f>
        <v>1</v>
      </c>
      <c r="M285" s="1"/>
      <c r="N285" s="1"/>
      <c r="O285" s="1"/>
      <c r="P285" s="1"/>
      <c r="Q285" s="1"/>
      <c r="R285" s="1"/>
      <c r="S285" s="1"/>
      <c r="T285" s="1"/>
      <c r="U285" s="1"/>
      <c r="V285" s="1"/>
      <c r="W285" s="1"/>
      <c r="X285" s="1"/>
      <c r="Y285" s="1"/>
      <c r="Z285" s="1"/>
      <c r="AA285" s="1"/>
      <c r="AB285" s="1"/>
      <c r="AC285" s="1"/>
      <c r="AD285" s="1"/>
      <c r="AE285" s="1"/>
      <c r="AF28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5" s="1"/>
    </row>
    <row r="286" spans="1:33" ht="43.5" hidden="1" x14ac:dyDescent="0.35">
      <c r="A286" s="1" t="s">
        <v>587</v>
      </c>
      <c r="B286" s="7" t="s">
        <v>588</v>
      </c>
      <c r="C286" t="s">
        <v>268</v>
      </c>
      <c r="E286" s="1" t="b">
        <v>1</v>
      </c>
      <c r="J286" s="1"/>
      <c r="K286" s="1"/>
      <c r="L286" s="1" t="b">
        <f>IF(OR(Table1[[#This Row],[Does not regard DAIC-WOZ]]=TRUE,Table1[[#This Row],[Does not use MAE]]=TRUE,Table1[[#This Row],[Does not introduce new model]]=TRUE,Table1[[#This Row],[Not in English]]=TRUE,Table1[[#This Row],[Not retrieved]]=TRUE),TRUE,FALSE)</f>
        <v>0</v>
      </c>
      <c r="M286" s="1"/>
      <c r="N286" s="1"/>
      <c r="O286" s="1"/>
      <c r="P286" s="1"/>
      <c r="Q286" s="1"/>
      <c r="R286" s="1"/>
      <c r="S286" s="1"/>
      <c r="T286" s="1"/>
      <c r="U286" s="1"/>
      <c r="V286" s="1"/>
      <c r="W286" s="1"/>
      <c r="X286" s="1"/>
      <c r="Y286" s="1"/>
      <c r="Z286" s="1"/>
      <c r="AA286" s="1"/>
      <c r="AB286" s="1"/>
      <c r="AC286" s="1"/>
      <c r="AD286" s="1"/>
      <c r="AE286" s="1"/>
      <c r="AF28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6" s="1"/>
    </row>
    <row r="287" spans="1:33" ht="29" hidden="1" x14ac:dyDescent="0.35">
      <c r="A287" s="1" t="s">
        <v>589</v>
      </c>
      <c r="B287" s="7" t="s">
        <v>590</v>
      </c>
      <c r="C287" t="s">
        <v>268</v>
      </c>
      <c r="E287" s="1" t="b">
        <v>1</v>
      </c>
      <c r="J287" s="1"/>
      <c r="K287" s="1"/>
      <c r="L287" s="1" t="b">
        <f>IF(OR(Table1[[#This Row],[Does not regard DAIC-WOZ]]=TRUE,Table1[[#This Row],[Does not use MAE]]=TRUE,Table1[[#This Row],[Does not introduce new model]]=TRUE,Table1[[#This Row],[Not in English]]=TRUE,Table1[[#This Row],[Not retrieved]]=TRUE),TRUE,FALSE)</f>
        <v>0</v>
      </c>
      <c r="M287" s="1"/>
      <c r="N287" s="1"/>
      <c r="O287" s="1"/>
      <c r="P287" s="1"/>
      <c r="Q287" s="1"/>
      <c r="R287" s="1"/>
      <c r="S287" s="1"/>
      <c r="T287" s="1"/>
      <c r="U287" s="1"/>
      <c r="V287" s="1"/>
      <c r="W287" s="1"/>
      <c r="X287" s="1"/>
      <c r="Y287" s="1"/>
      <c r="Z287" s="1"/>
      <c r="AA287" s="1"/>
      <c r="AB287" s="1"/>
      <c r="AC287" s="1"/>
      <c r="AD287" s="1"/>
      <c r="AE287" s="1"/>
      <c r="AF28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7" s="1"/>
    </row>
    <row r="288" spans="1:33" ht="29" hidden="1" x14ac:dyDescent="0.35">
      <c r="A288" s="1" t="s">
        <v>591</v>
      </c>
      <c r="B288" s="7" t="s">
        <v>592</v>
      </c>
      <c r="C288" t="s">
        <v>268</v>
      </c>
      <c r="D288" s="1"/>
      <c r="E288" s="1" t="b">
        <v>0</v>
      </c>
      <c r="F288" s="1" t="s">
        <v>724</v>
      </c>
      <c r="G288" s="1" t="b">
        <v>1</v>
      </c>
      <c r="J288" s="1"/>
      <c r="K288" s="1"/>
      <c r="L288" s="1" t="b">
        <f>IF(OR(Table1[[#This Row],[Does not regard DAIC-WOZ]]=TRUE,Table1[[#This Row],[Does not use MAE]]=TRUE,Table1[[#This Row],[Does not introduce new model]]=TRUE,Table1[[#This Row],[Not in English]]=TRUE,Table1[[#This Row],[Not retrieved]]=TRUE),TRUE,FALSE)</f>
        <v>1</v>
      </c>
      <c r="M288" s="1"/>
      <c r="N288" s="1"/>
      <c r="O288" s="1"/>
      <c r="P288" s="1"/>
      <c r="Q288" s="1"/>
      <c r="R288" s="1"/>
      <c r="S288" s="1"/>
      <c r="T288" s="1"/>
      <c r="U288" s="1"/>
      <c r="V288" s="1"/>
      <c r="W288" s="1"/>
      <c r="X288" s="1"/>
      <c r="Y288" s="1"/>
      <c r="Z288" s="1"/>
      <c r="AA288" s="1"/>
      <c r="AB288" s="1"/>
      <c r="AC288" s="1"/>
      <c r="AD288" s="1"/>
      <c r="AE288" s="1"/>
      <c r="AF28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8" s="1"/>
    </row>
    <row r="289" spans="1:33" ht="29" hidden="1" x14ac:dyDescent="0.35">
      <c r="A289" s="1" t="s">
        <v>593</v>
      </c>
      <c r="B289" s="7" t="s">
        <v>594</v>
      </c>
      <c r="C289" t="s">
        <v>268</v>
      </c>
      <c r="D289" s="1"/>
      <c r="E289" s="1" t="b">
        <v>0</v>
      </c>
      <c r="F289" s="1" t="s">
        <v>742</v>
      </c>
      <c r="G289" s="1" t="b">
        <v>1</v>
      </c>
      <c r="J289" s="1"/>
      <c r="K289" s="1"/>
      <c r="L289" s="1" t="b">
        <f>IF(OR(Table1[[#This Row],[Does not regard DAIC-WOZ]]=TRUE,Table1[[#This Row],[Does not use MAE]]=TRUE,Table1[[#This Row],[Does not introduce new model]]=TRUE,Table1[[#This Row],[Not in English]]=TRUE,Table1[[#This Row],[Not retrieved]]=TRUE),TRUE,FALSE)</f>
        <v>1</v>
      </c>
      <c r="M289" s="1"/>
      <c r="N289" s="1"/>
      <c r="O289" s="1"/>
      <c r="P289" s="1"/>
      <c r="Q289" s="1"/>
      <c r="R289" s="1"/>
      <c r="S289" s="1"/>
      <c r="T289" s="1"/>
      <c r="U289" s="1"/>
      <c r="V289" s="1"/>
      <c r="W289" s="1"/>
      <c r="X289" s="1"/>
      <c r="Y289" s="1"/>
      <c r="Z289" s="1"/>
      <c r="AA289" s="1"/>
      <c r="AB289" s="1"/>
      <c r="AC289" s="1"/>
      <c r="AD289" s="1"/>
      <c r="AE289" s="1"/>
      <c r="AF28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89" s="1"/>
    </row>
    <row r="290" spans="1:33" ht="29" hidden="1" x14ac:dyDescent="0.35">
      <c r="A290" s="1" t="s">
        <v>595</v>
      </c>
      <c r="B290" s="7" t="s">
        <v>596</v>
      </c>
      <c r="C290" t="s">
        <v>268</v>
      </c>
      <c r="D290" s="1"/>
      <c r="E290" s="1" t="b">
        <v>0</v>
      </c>
      <c r="J290" s="1" t="b">
        <v>1</v>
      </c>
      <c r="K290" s="1"/>
      <c r="L290" s="1" t="b">
        <f>IF(OR(Table1[[#This Row],[Does not regard DAIC-WOZ]]=TRUE,Table1[[#This Row],[Does not use MAE]]=TRUE,Table1[[#This Row],[Does not introduce new model]]=TRUE,Table1[[#This Row],[Not in English]]=TRUE,Table1[[#This Row],[Not retrieved]]=TRUE),TRUE,FALSE)</f>
        <v>1</v>
      </c>
      <c r="M290" s="1"/>
      <c r="N290" s="1"/>
      <c r="O290" s="1"/>
      <c r="P290" s="1"/>
      <c r="Q290" s="1"/>
      <c r="R290" s="1"/>
      <c r="S290" s="1"/>
      <c r="T290" s="1"/>
      <c r="U290" s="1"/>
      <c r="V290" s="1"/>
      <c r="W290" s="1"/>
      <c r="X290" s="1"/>
      <c r="Y290" s="1"/>
      <c r="Z290" s="1"/>
      <c r="AA290" s="1"/>
      <c r="AB290" s="1"/>
      <c r="AC290" s="1"/>
      <c r="AD290" s="1"/>
      <c r="AE290" s="1"/>
      <c r="AF29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0" s="1"/>
    </row>
    <row r="291" spans="1:33" ht="58" hidden="1" x14ac:dyDescent="0.35">
      <c r="A291" s="1" t="s">
        <v>597</v>
      </c>
      <c r="B291" s="7" t="s">
        <v>598</v>
      </c>
      <c r="C291" t="s">
        <v>268</v>
      </c>
      <c r="D291" s="1"/>
      <c r="E291" s="1" t="b">
        <v>0</v>
      </c>
      <c r="F291" s="1" t="s">
        <v>743</v>
      </c>
      <c r="G291" s="1" t="b">
        <v>1</v>
      </c>
      <c r="J291" s="1"/>
      <c r="K291" s="1"/>
      <c r="L291" s="1" t="b">
        <f>IF(OR(Table1[[#This Row],[Does not regard DAIC-WOZ]]=TRUE,Table1[[#This Row],[Does not use MAE]]=TRUE,Table1[[#This Row],[Does not introduce new model]]=TRUE,Table1[[#This Row],[Not in English]]=TRUE,Table1[[#This Row],[Not retrieved]]=TRUE),TRUE,FALSE)</f>
        <v>1</v>
      </c>
      <c r="M291" s="1"/>
      <c r="N291" s="1"/>
      <c r="O291" s="1"/>
      <c r="P291" s="1"/>
      <c r="Q291" s="1"/>
      <c r="R291" s="1"/>
      <c r="S291" s="1"/>
      <c r="T291" s="1"/>
      <c r="U291" s="1"/>
      <c r="V291" s="1"/>
      <c r="W291" s="1"/>
      <c r="X291" s="1"/>
      <c r="Y291" s="1"/>
      <c r="Z291" s="1"/>
      <c r="AA291" s="1"/>
      <c r="AB291" s="1"/>
      <c r="AC291" s="1"/>
      <c r="AD291" s="1"/>
      <c r="AE291" s="1"/>
      <c r="AF29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1" s="1"/>
    </row>
    <row r="292" spans="1:33" ht="29" hidden="1" x14ac:dyDescent="0.35">
      <c r="A292" s="1" t="s">
        <v>599</v>
      </c>
      <c r="B292" s="7" t="s">
        <v>600</v>
      </c>
      <c r="C292" t="s">
        <v>268</v>
      </c>
      <c r="E292" s="1" t="b">
        <v>1</v>
      </c>
      <c r="J292" s="1"/>
      <c r="K292" s="1"/>
      <c r="L292" s="1" t="b">
        <f>IF(OR(Table1[[#This Row],[Does not regard DAIC-WOZ]]=TRUE,Table1[[#This Row],[Does not use MAE]]=TRUE,Table1[[#This Row],[Does not introduce new model]]=TRUE,Table1[[#This Row],[Not in English]]=TRUE,Table1[[#This Row],[Not retrieved]]=TRUE),TRUE,FALSE)</f>
        <v>0</v>
      </c>
      <c r="M292" s="1"/>
      <c r="N292" s="1"/>
      <c r="O292" s="1"/>
      <c r="P292" s="1"/>
      <c r="Q292" s="1"/>
      <c r="R292" s="1"/>
      <c r="S292" s="1"/>
      <c r="T292" s="1"/>
      <c r="U292" s="1"/>
      <c r="V292" s="1"/>
      <c r="W292" s="1"/>
      <c r="X292" s="1"/>
      <c r="Y292" s="1"/>
      <c r="Z292" s="1"/>
      <c r="AA292" s="1"/>
      <c r="AB292" s="1"/>
      <c r="AC292" s="1"/>
      <c r="AD292" s="1"/>
      <c r="AE292" s="1"/>
      <c r="AF29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2" s="1"/>
    </row>
    <row r="293" spans="1:33" ht="43.5" hidden="1" x14ac:dyDescent="0.35">
      <c r="A293" s="1" t="s">
        <v>601</v>
      </c>
      <c r="B293" s="7" t="s">
        <v>602</v>
      </c>
      <c r="C293" t="s">
        <v>268</v>
      </c>
      <c r="E293" s="1" t="b">
        <v>1</v>
      </c>
      <c r="J293" s="1"/>
      <c r="K293" s="1"/>
      <c r="L293" s="1" t="b">
        <f>IF(OR(Table1[[#This Row],[Does not regard DAIC-WOZ]]=TRUE,Table1[[#This Row],[Does not use MAE]]=TRUE,Table1[[#This Row],[Does not introduce new model]]=TRUE,Table1[[#This Row],[Not in English]]=TRUE,Table1[[#This Row],[Not retrieved]]=TRUE),TRUE,FALSE)</f>
        <v>0</v>
      </c>
      <c r="M293" s="1"/>
      <c r="N293" s="1"/>
      <c r="O293" s="1"/>
      <c r="P293" s="1"/>
      <c r="Q293" s="1"/>
      <c r="R293" s="1"/>
      <c r="S293" s="1"/>
      <c r="T293" s="1"/>
      <c r="U293" s="1"/>
      <c r="V293" s="1"/>
      <c r="W293" s="1"/>
      <c r="X293" s="1"/>
      <c r="Y293" s="1"/>
      <c r="Z293" s="1"/>
      <c r="AA293" s="1"/>
      <c r="AB293" s="1"/>
      <c r="AC293" s="1"/>
      <c r="AD293" s="1"/>
      <c r="AE293" s="1"/>
      <c r="AF29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3" s="1"/>
    </row>
    <row r="294" spans="1:33" ht="29" hidden="1" x14ac:dyDescent="0.35">
      <c r="A294" s="1" t="s">
        <v>603</v>
      </c>
      <c r="B294" s="7" t="s">
        <v>604</v>
      </c>
      <c r="C294" t="s">
        <v>268</v>
      </c>
      <c r="E294" s="1" t="b">
        <v>1</v>
      </c>
      <c r="J294" s="1"/>
      <c r="K294" s="1"/>
      <c r="L294" s="1" t="b">
        <f>IF(OR(Table1[[#This Row],[Does not regard DAIC-WOZ]]=TRUE,Table1[[#This Row],[Does not use MAE]]=TRUE,Table1[[#This Row],[Does not introduce new model]]=TRUE,Table1[[#This Row],[Not in English]]=TRUE,Table1[[#This Row],[Not retrieved]]=TRUE),TRUE,FALSE)</f>
        <v>0</v>
      </c>
      <c r="M294" s="1"/>
      <c r="N294" s="1"/>
      <c r="O294" s="1"/>
      <c r="P294" s="1"/>
      <c r="Q294" s="1"/>
      <c r="R294" s="1"/>
      <c r="S294" s="1"/>
      <c r="T294" s="1"/>
      <c r="U294" s="1"/>
      <c r="V294" s="1"/>
      <c r="W294" s="1"/>
      <c r="X294" s="1"/>
      <c r="Y294" s="1"/>
      <c r="Z294" s="1"/>
      <c r="AA294" s="1"/>
      <c r="AB294" s="1"/>
      <c r="AC294" s="1"/>
      <c r="AD294" s="1"/>
      <c r="AE294" s="1"/>
      <c r="AF29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4" s="1"/>
    </row>
    <row r="295" spans="1:33" ht="29" hidden="1" x14ac:dyDescent="0.35">
      <c r="A295" s="1" t="s">
        <v>605</v>
      </c>
      <c r="B295" s="7" t="s">
        <v>606</v>
      </c>
      <c r="C295" t="s">
        <v>268</v>
      </c>
      <c r="E295" s="1" t="b">
        <v>1</v>
      </c>
      <c r="J295" s="1"/>
      <c r="K295" s="1"/>
      <c r="L295" s="1" t="b">
        <f>IF(OR(Table1[[#This Row],[Does not regard DAIC-WOZ]]=TRUE,Table1[[#This Row],[Does not use MAE]]=TRUE,Table1[[#This Row],[Does not introduce new model]]=TRUE,Table1[[#This Row],[Not in English]]=TRUE,Table1[[#This Row],[Not retrieved]]=TRUE),TRUE,FALSE)</f>
        <v>0</v>
      </c>
      <c r="M295" s="1"/>
      <c r="N295" s="1"/>
      <c r="O295" s="1"/>
      <c r="P295" s="1"/>
      <c r="Q295" s="1"/>
      <c r="R295" s="1"/>
      <c r="S295" s="1"/>
      <c r="T295" s="1"/>
      <c r="U295" s="1"/>
      <c r="V295" s="1"/>
      <c r="W295" s="1"/>
      <c r="X295" s="1"/>
      <c r="Y295" s="1"/>
      <c r="Z295" s="1"/>
      <c r="AA295" s="1"/>
      <c r="AB295" s="1"/>
      <c r="AC295" s="1"/>
      <c r="AD295" s="1"/>
      <c r="AE295" s="1"/>
      <c r="AF29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5" s="1"/>
    </row>
    <row r="296" spans="1:33" ht="43.5" hidden="1" x14ac:dyDescent="0.35">
      <c r="A296" s="1" t="s">
        <v>607</v>
      </c>
      <c r="B296" s="7" t="s">
        <v>608</v>
      </c>
      <c r="C296" t="s">
        <v>268</v>
      </c>
      <c r="E296" s="1" t="b">
        <v>1</v>
      </c>
      <c r="J296" s="1"/>
      <c r="K296" s="1"/>
      <c r="L296" s="1" t="b">
        <f>IF(OR(Table1[[#This Row],[Does not regard DAIC-WOZ]]=TRUE,Table1[[#This Row],[Does not use MAE]]=TRUE,Table1[[#This Row],[Does not introduce new model]]=TRUE,Table1[[#This Row],[Not in English]]=TRUE,Table1[[#This Row],[Not retrieved]]=TRUE),TRUE,FALSE)</f>
        <v>0</v>
      </c>
      <c r="M296" s="1"/>
      <c r="N296" s="1"/>
      <c r="O296" s="1"/>
      <c r="P296" s="1"/>
      <c r="Q296" s="1"/>
      <c r="R296" s="1"/>
      <c r="S296" s="1"/>
      <c r="T296" s="1"/>
      <c r="U296" s="1"/>
      <c r="V296" s="1"/>
      <c r="W296" s="1"/>
      <c r="X296" s="1"/>
      <c r="Y296" s="1"/>
      <c r="Z296" s="1"/>
      <c r="AA296" s="1"/>
      <c r="AB296" s="1"/>
      <c r="AC296" s="1"/>
      <c r="AD296" s="1"/>
      <c r="AE296" s="1"/>
      <c r="AF29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6" s="1"/>
    </row>
    <row r="297" spans="1:33" ht="29" hidden="1" x14ac:dyDescent="0.35">
      <c r="A297" s="1" t="s">
        <v>609</v>
      </c>
      <c r="B297" s="7" t="s">
        <v>610</v>
      </c>
      <c r="C297" t="s">
        <v>268</v>
      </c>
      <c r="E297" s="1" t="b">
        <v>1</v>
      </c>
      <c r="J297" s="1"/>
      <c r="K297" s="1"/>
      <c r="L297" s="1" t="b">
        <f>IF(OR(Table1[[#This Row],[Does not regard DAIC-WOZ]]=TRUE,Table1[[#This Row],[Does not use MAE]]=TRUE,Table1[[#This Row],[Does not introduce new model]]=TRUE,Table1[[#This Row],[Not in English]]=TRUE,Table1[[#This Row],[Not retrieved]]=TRUE),TRUE,FALSE)</f>
        <v>0</v>
      </c>
      <c r="M297" s="1"/>
      <c r="N297" s="1"/>
      <c r="O297" s="1"/>
      <c r="P297" s="1"/>
      <c r="Q297" s="1"/>
      <c r="R297" s="1"/>
      <c r="S297" s="1"/>
      <c r="T297" s="1"/>
      <c r="U297" s="1"/>
      <c r="V297" s="1"/>
      <c r="W297" s="1"/>
      <c r="X297" s="1"/>
      <c r="Y297" s="1"/>
      <c r="Z297" s="1"/>
      <c r="AA297" s="1"/>
      <c r="AB297" s="1"/>
      <c r="AC297" s="1"/>
      <c r="AD297" s="1"/>
      <c r="AE297" s="1"/>
      <c r="AF29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7" s="1"/>
    </row>
    <row r="298" spans="1:33" ht="58" hidden="1" x14ac:dyDescent="0.35">
      <c r="A298" s="1" t="s">
        <v>611</v>
      </c>
      <c r="B298" s="7" t="s">
        <v>612</v>
      </c>
      <c r="C298" t="s">
        <v>268</v>
      </c>
      <c r="E298" s="1" t="b">
        <v>1</v>
      </c>
      <c r="J298" s="1"/>
      <c r="K298" s="1"/>
      <c r="L298" s="1" t="b">
        <f>IF(OR(Table1[[#This Row],[Does not regard DAIC-WOZ]]=TRUE,Table1[[#This Row],[Does not use MAE]]=TRUE,Table1[[#This Row],[Does not introduce new model]]=TRUE,Table1[[#This Row],[Not in English]]=TRUE,Table1[[#This Row],[Not retrieved]]=TRUE),TRUE,FALSE)</f>
        <v>0</v>
      </c>
      <c r="M298" s="1"/>
      <c r="N298" s="1"/>
      <c r="O298" s="1"/>
      <c r="P298" s="1"/>
      <c r="Q298" s="1"/>
      <c r="R298" s="1"/>
      <c r="S298" s="1"/>
      <c r="T298" s="1"/>
      <c r="U298" s="1"/>
      <c r="V298" s="1"/>
      <c r="W298" s="1"/>
      <c r="X298" s="1"/>
      <c r="Y298" s="1"/>
      <c r="Z298" s="1"/>
      <c r="AA298" s="1"/>
      <c r="AB298" s="1"/>
      <c r="AC298" s="1"/>
      <c r="AD298" s="1"/>
      <c r="AE298" s="1"/>
      <c r="AF29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8" s="1"/>
    </row>
    <row r="299" spans="1:33" ht="29" hidden="1" x14ac:dyDescent="0.35">
      <c r="A299" s="1" t="s">
        <v>613</v>
      </c>
      <c r="B299" s="7" t="s">
        <v>614</v>
      </c>
      <c r="C299" t="s">
        <v>268</v>
      </c>
      <c r="E299" s="1" t="b">
        <v>1</v>
      </c>
      <c r="J299" s="1"/>
      <c r="K299" s="1"/>
      <c r="L299" s="1" t="b">
        <f>IF(OR(Table1[[#This Row],[Does not regard DAIC-WOZ]]=TRUE,Table1[[#This Row],[Does not use MAE]]=TRUE,Table1[[#This Row],[Does not introduce new model]]=TRUE,Table1[[#This Row],[Not in English]]=TRUE,Table1[[#This Row],[Not retrieved]]=TRUE),TRUE,FALSE)</f>
        <v>0</v>
      </c>
      <c r="M299" s="1"/>
      <c r="N299" s="1"/>
      <c r="O299" s="1"/>
      <c r="P299" s="1"/>
      <c r="Q299" s="1"/>
      <c r="R299" s="1"/>
      <c r="S299" s="1"/>
      <c r="T299" s="1"/>
      <c r="U299" s="1"/>
      <c r="V299" s="1"/>
      <c r="W299" s="1"/>
      <c r="X299" s="1"/>
      <c r="Y299" s="1"/>
      <c r="Z299" s="1"/>
      <c r="AA299" s="1"/>
      <c r="AB299" s="1"/>
      <c r="AC299" s="1"/>
      <c r="AD299" s="1"/>
      <c r="AE299" s="1"/>
      <c r="AF29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299" s="1"/>
    </row>
    <row r="300" spans="1:33" hidden="1" x14ac:dyDescent="0.35">
      <c r="A300" s="1" t="s">
        <v>615</v>
      </c>
      <c r="B300" s="7" t="s">
        <v>616</v>
      </c>
      <c r="C300" t="s">
        <v>268</v>
      </c>
      <c r="E300" s="1" t="b">
        <v>1</v>
      </c>
      <c r="J300" s="1"/>
      <c r="K300" s="1"/>
      <c r="L300" s="1" t="b">
        <f>IF(OR(Table1[[#This Row],[Does not regard DAIC-WOZ]]=TRUE,Table1[[#This Row],[Does not use MAE]]=TRUE,Table1[[#This Row],[Does not introduce new model]]=TRUE,Table1[[#This Row],[Not in English]]=TRUE,Table1[[#This Row],[Not retrieved]]=TRUE),TRUE,FALSE)</f>
        <v>0</v>
      </c>
      <c r="M300" s="1"/>
      <c r="N300" s="1"/>
      <c r="O300" s="1"/>
      <c r="P300" s="1"/>
      <c r="Q300" s="1"/>
      <c r="R300" s="1"/>
      <c r="S300" s="1"/>
      <c r="T300" s="1"/>
      <c r="U300" s="1"/>
      <c r="V300" s="1"/>
      <c r="W300" s="1"/>
      <c r="X300" s="1"/>
      <c r="Y300" s="1"/>
      <c r="Z300" s="1"/>
      <c r="AA300" s="1"/>
      <c r="AB300" s="1"/>
      <c r="AC300" s="1"/>
      <c r="AD300" s="1"/>
      <c r="AE300" s="1"/>
      <c r="AF30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0" s="1"/>
    </row>
    <row r="301" spans="1:33" ht="29" hidden="1" x14ac:dyDescent="0.35">
      <c r="A301" s="1" t="s">
        <v>617</v>
      </c>
      <c r="B301" s="7" t="s">
        <v>618</v>
      </c>
      <c r="C301" t="s">
        <v>268</v>
      </c>
      <c r="E301" s="1" t="b">
        <v>1</v>
      </c>
      <c r="J301" s="1"/>
      <c r="K301" s="1"/>
      <c r="L301" s="1" t="b">
        <f>IF(OR(Table1[[#This Row],[Does not regard DAIC-WOZ]]=TRUE,Table1[[#This Row],[Does not use MAE]]=TRUE,Table1[[#This Row],[Does not introduce new model]]=TRUE,Table1[[#This Row],[Not in English]]=TRUE,Table1[[#This Row],[Not retrieved]]=TRUE),TRUE,FALSE)</f>
        <v>0</v>
      </c>
      <c r="M301" s="1"/>
      <c r="N301" s="1"/>
      <c r="O301" s="1"/>
      <c r="P301" s="1"/>
      <c r="Q301" s="1"/>
      <c r="R301" s="1"/>
      <c r="S301" s="1"/>
      <c r="T301" s="1"/>
      <c r="U301" s="1"/>
      <c r="V301" s="1"/>
      <c r="W301" s="1"/>
      <c r="X301" s="1"/>
      <c r="Y301" s="1"/>
      <c r="Z301" s="1"/>
      <c r="AA301" s="1"/>
      <c r="AB301" s="1"/>
      <c r="AC301" s="1"/>
      <c r="AD301" s="1"/>
      <c r="AE301" s="1"/>
      <c r="AF30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1" s="1"/>
    </row>
    <row r="302" spans="1:33" ht="43.5" hidden="1" x14ac:dyDescent="0.35">
      <c r="A302" s="1" t="s">
        <v>619</v>
      </c>
      <c r="B302" s="7" t="s">
        <v>620</v>
      </c>
      <c r="C302" t="s">
        <v>268</v>
      </c>
      <c r="E302" s="1" t="b">
        <v>1</v>
      </c>
      <c r="J302" s="1"/>
      <c r="K302" s="1"/>
      <c r="L302" s="1" t="b">
        <f>IF(OR(Table1[[#This Row],[Does not regard DAIC-WOZ]]=TRUE,Table1[[#This Row],[Does not use MAE]]=TRUE,Table1[[#This Row],[Does not introduce new model]]=TRUE,Table1[[#This Row],[Not in English]]=TRUE,Table1[[#This Row],[Not retrieved]]=TRUE),TRUE,FALSE)</f>
        <v>0</v>
      </c>
      <c r="M302" s="1"/>
      <c r="N302" s="1"/>
      <c r="O302" s="1"/>
      <c r="P302" s="1"/>
      <c r="Q302" s="1"/>
      <c r="R302" s="1"/>
      <c r="S302" s="1"/>
      <c r="T302" s="1"/>
      <c r="U302" s="1"/>
      <c r="V302" s="1"/>
      <c r="W302" s="1"/>
      <c r="X302" s="1"/>
      <c r="Y302" s="1"/>
      <c r="Z302" s="1"/>
      <c r="AA302" s="1"/>
      <c r="AB302" s="1"/>
      <c r="AC302" s="1"/>
      <c r="AD302" s="1"/>
      <c r="AE302" s="1"/>
      <c r="AF30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2" s="1"/>
    </row>
    <row r="303" spans="1:33" ht="43.5" hidden="1" x14ac:dyDescent="0.35">
      <c r="A303" s="1" t="s">
        <v>621</v>
      </c>
      <c r="B303" s="7" t="s">
        <v>622</v>
      </c>
      <c r="C303" t="s">
        <v>268</v>
      </c>
      <c r="E303" s="1" t="b">
        <v>1</v>
      </c>
      <c r="J303" s="1"/>
      <c r="K303" s="1"/>
      <c r="L303" s="1" t="b">
        <f>IF(OR(Table1[[#This Row],[Does not regard DAIC-WOZ]]=TRUE,Table1[[#This Row],[Does not use MAE]]=TRUE,Table1[[#This Row],[Does not introduce new model]]=TRUE,Table1[[#This Row],[Not in English]]=TRUE,Table1[[#This Row],[Not retrieved]]=TRUE),TRUE,FALSE)</f>
        <v>0</v>
      </c>
      <c r="M303" s="1"/>
      <c r="N303" s="1"/>
      <c r="O303" s="1"/>
      <c r="P303" s="1"/>
      <c r="Q303" s="1"/>
      <c r="R303" s="1"/>
      <c r="S303" s="1"/>
      <c r="T303" s="1"/>
      <c r="U303" s="1"/>
      <c r="V303" s="1"/>
      <c r="W303" s="1"/>
      <c r="X303" s="1"/>
      <c r="Y303" s="1"/>
      <c r="Z303" s="1"/>
      <c r="AA303" s="1"/>
      <c r="AB303" s="1"/>
      <c r="AC303" s="1"/>
      <c r="AD303" s="1"/>
      <c r="AE303" s="1"/>
      <c r="AF30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3" s="1"/>
    </row>
    <row r="304" spans="1:33" ht="43.5" hidden="1" x14ac:dyDescent="0.35">
      <c r="A304" s="1" t="s">
        <v>623</v>
      </c>
      <c r="B304" s="7" t="s">
        <v>624</v>
      </c>
      <c r="C304" t="s">
        <v>268</v>
      </c>
      <c r="E304" s="1" t="b">
        <v>1</v>
      </c>
      <c r="J304" s="1"/>
      <c r="K304" s="1"/>
      <c r="L304" s="1" t="b">
        <f>IF(OR(Table1[[#This Row],[Does not regard DAIC-WOZ]]=TRUE,Table1[[#This Row],[Does not use MAE]]=TRUE,Table1[[#This Row],[Does not introduce new model]]=TRUE,Table1[[#This Row],[Not in English]]=TRUE,Table1[[#This Row],[Not retrieved]]=TRUE),TRUE,FALSE)</f>
        <v>0</v>
      </c>
      <c r="M304" s="1"/>
      <c r="N304" s="1"/>
      <c r="O304" s="1"/>
      <c r="P304" s="1"/>
      <c r="Q304" s="1"/>
      <c r="R304" s="1"/>
      <c r="S304" s="1"/>
      <c r="T304" s="1"/>
      <c r="U304" s="1"/>
      <c r="V304" s="1"/>
      <c r="W304" s="1"/>
      <c r="X304" s="1"/>
      <c r="Y304" s="1"/>
      <c r="Z304" s="1"/>
      <c r="AA304" s="1"/>
      <c r="AB304" s="1"/>
      <c r="AC304" s="1"/>
      <c r="AD304" s="1"/>
      <c r="AE304" s="1"/>
      <c r="AF30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4" s="1"/>
    </row>
    <row r="305" spans="1:33" ht="29" hidden="1" x14ac:dyDescent="0.35">
      <c r="A305" s="1" t="s">
        <v>625</v>
      </c>
      <c r="B305" s="7" t="s">
        <v>626</v>
      </c>
      <c r="C305" t="s">
        <v>268</v>
      </c>
      <c r="E305" s="1" t="b">
        <v>1</v>
      </c>
      <c r="J305" s="1"/>
      <c r="K305" s="1"/>
      <c r="L305" s="1" t="b">
        <f>IF(OR(Table1[[#This Row],[Does not regard DAIC-WOZ]]=TRUE,Table1[[#This Row],[Does not use MAE]]=TRUE,Table1[[#This Row],[Does not introduce new model]]=TRUE,Table1[[#This Row],[Not in English]]=TRUE,Table1[[#This Row],[Not retrieved]]=TRUE),TRUE,FALSE)</f>
        <v>0</v>
      </c>
      <c r="M305" s="1"/>
      <c r="N305" s="1"/>
      <c r="O305" s="1"/>
      <c r="P305" s="1"/>
      <c r="Q305" s="1"/>
      <c r="R305" s="1"/>
      <c r="S305" s="1"/>
      <c r="T305" s="1"/>
      <c r="U305" s="1"/>
      <c r="V305" s="1"/>
      <c r="W305" s="1"/>
      <c r="X305" s="1"/>
      <c r="Y305" s="1"/>
      <c r="Z305" s="1"/>
      <c r="AA305" s="1"/>
      <c r="AB305" s="1"/>
      <c r="AC305" s="1"/>
      <c r="AD305" s="1"/>
      <c r="AE305" s="1"/>
      <c r="AF30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5" s="1"/>
    </row>
    <row r="306" spans="1:33" ht="29" hidden="1" x14ac:dyDescent="0.35">
      <c r="A306" s="1" t="s">
        <v>627</v>
      </c>
      <c r="B306" s="7" t="s">
        <v>628</v>
      </c>
      <c r="C306" t="s">
        <v>268</v>
      </c>
      <c r="E306" s="1" t="b">
        <v>1</v>
      </c>
      <c r="J306" s="1"/>
      <c r="K306" s="1"/>
      <c r="L306" s="1" t="b">
        <f>IF(OR(Table1[[#This Row],[Does not regard DAIC-WOZ]]=TRUE,Table1[[#This Row],[Does not use MAE]]=TRUE,Table1[[#This Row],[Does not introduce new model]]=TRUE,Table1[[#This Row],[Not in English]]=TRUE,Table1[[#This Row],[Not retrieved]]=TRUE),TRUE,FALSE)</f>
        <v>0</v>
      </c>
      <c r="M306" s="1"/>
      <c r="N306" s="1"/>
      <c r="O306" s="1"/>
      <c r="P306" s="1"/>
      <c r="Q306" s="1"/>
      <c r="R306" s="1"/>
      <c r="S306" s="1"/>
      <c r="T306" s="1"/>
      <c r="U306" s="1"/>
      <c r="V306" s="1"/>
      <c r="W306" s="1"/>
      <c r="X306" s="1"/>
      <c r="Y306" s="1"/>
      <c r="Z306" s="1"/>
      <c r="AA306" s="1"/>
      <c r="AB306" s="1"/>
      <c r="AC306" s="1"/>
      <c r="AD306" s="1"/>
      <c r="AE306" s="1"/>
      <c r="AF30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6" s="1"/>
    </row>
    <row r="307" spans="1:33" ht="29" hidden="1" x14ac:dyDescent="0.35">
      <c r="A307" s="1" t="s">
        <v>629</v>
      </c>
      <c r="B307" s="7" t="s">
        <v>630</v>
      </c>
      <c r="C307" t="s">
        <v>268</v>
      </c>
      <c r="E307" s="1" t="b">
        <v>1</v>
      </c>
      <c r="J307" s="1"/>
      <c r="K307" s="1"/>
      <c r="L307" s="1" t="b">
        <f>IF(OR(Table1[[#This Row],[Does not regard DAIC-WOZ]]=TRUE,Table1[[#This Row],[Does not use MAE]]=TRUE,Table1[[#This Row],[Does not introduce new model]]=TRUE,Table1[[#This Row],[Not in English]]=TRUE,Table1[[#This Row],[Not retrieved]]=TRUE),TRUE,FALSE)</f>
        <v>0</v>
      </c>
      <c r="M307" s="1"/>
      <c r="N307" s="1"/>
      <c r="O307" s="1"/>
      <c r="P307" s="1"/>
      <c r="Q307" s="1"/>
      <c r="R307" s="1"/>
      <c r="S307" s="1"/>
      <c r="T307" s="1"/>
      <c r="U307" s="1"/>
      <c r="V307" s="1"/>
      <c r="W307" s="1"/>
      <c r="X307" s="1"/>
      <c r="Y307" s="1"/>
      <c r="Z307" s="1"/>
      <c r="AA307" s="1"/>
      <c r="AB307" s="1"/>
      <c r="AC307" s="1"/>
      <c r="AD307" s="1"/>
      <c r="AE307" s="1"/>
      <c r="AF30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7" s="1"/>
    </row>
    <row r="308" spans="1:33" ht="29" hidden="1" x14ac:dyDescent="0.35">
      <c r="A308" s="1" t="s">
        <v>631</v>
      </c>
      <c r="B308" s="7" t="s">
        <v>632</v>
      </c>
      <c r="C308" t="s">
        <v>268</v>
      </c>
      <c r="E308" s="1" t="b">
        <v>1</v>
      </c>
      <c r="J308" s="1"/>
      <c r="K308" s="1"/>
      <c r="L308" s="1" t="b">
        <f>IF(OR(Table1[[#This Row],[Does not regard DAIC-WOZ]]=TRUE,Table1[[#This Row],[Does not use MAE]]=TRUE,Table1[[#This Row],[Does not introduce new model]]=TRUE,Table1[[#This Row],[Not in English]]=TRUE,Table1[[#This Row],[Not retrieved]]=TRUE),TRUE,FALSE)</f>
        <v>0</v>
      </c>
      <c r="M308" s="1"/>
      <c r="N308" s="1"/>
      <c r="O308" s="1"/>
      <c r="P308" s="1"/>
      <c r="Q308" s="1"/>
      <c r="R308" s="1"/>
      <c r="S308" s="1"/>
      <c r="T308" s="1"/>
      <c r="U308" s="1"/>
      <c r="V308" s="1"/>
      <c r="W308" s="1"/>
      <c r="X308" s="1"/>
      <c r="Y308" s="1"/>
      <c r="Z308" s="1"/>
      <c r="AA308" s="1"/>
      <c r="AB308" s="1"/>
      <c r="AC308" s="1"/>
      <c r="AD308" s="1"/>
      <c r="AE308" s="1"/>
      <c r="AF30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8" s="1"/>
    </row>
    <row r="309" spans="1:33" ht="43.5" hidden="1" x14ac:dyDescent="0.35">
      <c r="A309" s="1" t="s">
        <v>633</v>
      </c>
      <c r="B309" s="7" t="s">
        <v>634</v>
      </c>
      <c r="C309" t="s">
        <v>268</v>
      </c>
      <c r="E309" s="1" t="b">
        <v>1</v>
      </c>
      <c r="J309" s="1"/>
      <c r="K309" s="1"/>
      <c r="L309" s="1" t="b">
        <f>IF(OR(Table1[[#This Row],[Does not regard DAIC-WOZ]]=TRUE,Table1[[#This Row],[Does not use MAE]]=TRUE,Table1[[#This Row],[Does not introduce new model]]=TRUE,Table1[[#This Row],[Not in English]]=TRUE,Table1[[#This Row],[Not retrieved]]=TRUE),TRUE,FALSE)</f>
        <v>0</v>
      </c>
      <c r="M309" s="1"/>
      <c r="N309" s="1"/>
      <c r="O309" s="1"/>
      <c r="P309" s="1"/>
      <c r="Q309" s="1"/>
      <c r="R309" s="1"/>
      <c r="S309" s="1"/>
      <c r="T309" s="1"/>
      <c r="U309" s="1"/>
      <c r="V309" s="1"/>
      <c r="W309" s="1"/>
      <c r="X309" s="1"/>
      <c r="Y309" s="1"/>
      <c r="Z309" s="1"/>
      <c r="AA309" s="1"/>
      <c r="AB309" s="1"/>
      <c r="AC309" s="1"/>
      <c r="AD309" s="1"/>
      <c r="AE309" s="1"/>
      <c r="AF30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09" s="1"/>
    </row>
    <row r="310" spans="1:33" ht="43.5" hidden="1" x14ac:dyDescent="0.35">
      <c r="A310" s="1" t="s">
        <v>635</v>
      </c>
      <c r="B310" s="7" t="s">
        <v>636</v>
      </c>
      <c r="C310" t="s">
        <v>268</v>
      </c>
      <c r="D310" s="1"/>
      <c r="E310" s="1" t="b">
        <v>0</v>
      </c>
      <c r="F310" s="1" t="s">
        <v>720</v>
      </c>
      <c r="G310" s="1" t="b">
        <v>1</v>
      </c>
      <c r="J310" s="1"/>
      <c r="K310" s="1"/>
      <c r="L310" s="1" t="b">
        <f>IF(OR(Table1[[#This Row],[Does not regard DAIC-WOZ]]=TRUE,Table1[[#This Row],[Does not use MAE]]=TRUE,Table1[[#This Row],[Does not introduce new model]]=TRUE,Table1[[#This Row],[Not in English]]=TRUE,Table1[[#This Row],[Not retrieved]]=TRUE),TRUE,FALSE)</f>
        <v>1</v>
      </c>
      <c r="M310" s="1"/>
      <c r="N310" s="1"/>
      <c r="O310" s="1"/>
      <c r="P310" s="1"/>
      <c r="Q310" s="1"/>
      <c r="R310" s="1"/>
      <c r="S310" s="1"/>
      <c r="T310" s="1"/>
      <c r="U310" s="1"/>
      <c r="V310" s="1"/>
      <c r="W310" s="1"/>
      <c r="X310" s="1"/>
      <c r="Y310" s="1"/>
      <c r="Z310" s="1"/>
      <c r="AA310" s="1"/>
      <c r="AB310" s="1"/>
      <c r="AC310" s="1"/>
      <c r="AD310" s="1"/>
      <c r="AE310" s="1"/>
      <c r="AF31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0" s="1"/>
    </row>
    <row r="311" spans="1:33" ht="43.5" hidden="1" x14ac:dyDescent="0.35">
      <c r="A311" s="1" t="s">
        <v>637</v>
      </c>
      <c r="B311" s="7" t="s">
        <v>638</v>
      </c>
      <c r="C311" t="s">
        <v>268</v>
      </c>
      <c r="E311" s="1" t="b">
        <v>1</v>
      </c>
      <c r="J311" s="1"/>
      <c r="K311" s="1"/>
      <c r="L311" s="1" t="b">
        <f>IF(OR(Table1[[#This Row],[Does not regard DAIC-WOZ]]=TRUE,Table1[[#This Row],[Does not use MAE]]=TRUE,Table1[[#This Row],[Does not introduce new model]]=TRUE,Table1[[#This Row],[Not in English]]=TRUE,Table1[[#This Row],[Not retrieved]]=TRUE),TRUE,FALSE)</f>
        <v>0</v>
      </c>
      <c r="M311" s="1"/>
      <c r="N311" s="1"/>
      <c r="O311" s="1"/>
      <c r="P311" s="1"/>
      <c r="Q311" s="1"/>
      <c r="R311" s="1"/>
      <c r="S311" s="1"/>
      <c r="T311" s="1"/>
      <c r="U311" s="1"/>
      <c r="V311" s="1"/>
      <c r="W311" s="1"/>
      <c r="X311" s="1"/>
      <c r="Y311" s="1"/>
      <c r="Z311" s="1"/>
      <c r="AA311" s="1"/>
      <c r="AB311" s="1"/>
      <c r="AC311" s="1"/>
      <c r="AD311" s="1"/>
      <c r="AE311" s="1"/>
      <c r="AF31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1" s="1"/>
    </row>
    <row r="312" spans="1:33" ht="29" hidden="1" x14ac:dyDescent="0.35">
      <c r="A312" s="1" t="s">
        <v>639</v>
      </c>
      <c r="B312" s="7" t="s">
        <v>640</v>
      </c>
      <c r="C312" t="s">
        <v>268</v>
      </c>
      <c r="E312" s="1" t="b">
        <v>1</v>
      </c>
      <c r="J312" s="1"/>
      <c r="K312" s="1"/>
      <c r="L312" s="1" t="b">
        <f>IF(OR(Table1[[#This Row],[Does not regard DAIC-WOZ]]=TRUE,Table1[[#This Row],[Does not use MAE]]=TRUE,Table1[[#This Row],[Does not introduce new model]]=TRUE,Table1[[#This Row],[Not in English]]=TRUE,Table1[[#This Row],[Not retrieved]]=TRUE),TRUE,FALSE)</f>
        <v>0</v>
      </c>
      <c r="M312" s="1"/>
      <c r="N312" s="1"/>
      <c r="O312" s="1"/>
      <c r="P312" s="1"/>
      <c r="Q312" s="1"/>
      <c r="R312" s="1"/>
      <c r="S312" s="1"/>
      <c r="T312" s="1"/>
      <c r="U312" s="1"/>
      <c r="V312" s="1"/>
      <c r="W312" s="1"/>
      <c r="X312" s="1"/>
      <c r="Y312" s="1"/>
      <c r="Z312" s="1"/>
      <c r="AA312" s="1"/>
      <c r="AB312" s="1"/>
      <c r="AC312" s="1"/>
      <c r="AD312" s="1"/>
      <c r="AE312" s="1"/>
      <c r="AF31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2" s="1"/>
    </row>
    <row r="313" spans="1:33" hidden="1" x14ac:dyDescent="0.35">
      <c r="A313" s="1" t="s">
        <v>641</v>
      </c>
      <c r="B313" s="7" t="s">
        <v>642</v>
      </c>
      <c r="C313" t="s">
        <v>268</v>
      </c>
      <c r="E313" s="1" t="b">
        <v>1</v>
      </c>
      <c r="J313" s="1"/>
      <c r="K313" s="1"/>
      <c r="L313" s="1" t="b">
        <f>IF(OR(Table1[[#This Row],[Does not regard DAIC-WOZ]]=TRUE,Table1[[#This Row],[Does not use MAE]]=TRUE,Table1[[#This Row],[Does not introduce new model]]=TRUE,Table1[[#This Row],[Not in English]]=TRUE,Table1[[#This Row],[Not retrieved]]=TRUE),TRUE,FALSE)</f>
        <v>0</v>
      </c>
      <c r="M313" s="1"/>
      <c r="N313" s="1"/>
      <c r="O313" s="1"/>
      <c r="P313" s="1"/>
      <c r="Q313" s="1"/>
      <c r="R313" s="1"/>
      <c r="S313" s="1"/>
      <c r="T313" s="1"/>
      <c r="U313" s="1"/>
      <c r="V313" s="1"/>
      <c r="W313" s="1"/>
      <c r="X313" s="1"/>
      <c r="Y313" s="1"/>
      <c r="Z313" s="1"/>
      <c r="AA313" s="1"/>
      <c r="AB313" s="1"/>
      <c r="AC313" s="1"/>
      <c r="AD313" s="1"/>
      <c r="AE313" s="1"/>
      <c r="AF31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3" s="1"/>
    </row>
    <row r="314" spans="1:33" ht="43.5" hidden="1" x14ac:dyDescent="0.35">
      <c r="A314" s="1" t="s">
        <v>643</v>
      </c>
      <c r="B314" s="7" t="s">
        <v>644</v>
      </c>
      <c r="C314" t="s">
        <v>268</v>
      </c>
      <c r="E314" s="1" t="b">
        <v>1</v>
      </c>
      <c r="J314" s="1"/>
      <c r="K314" s="1"/>
      <c r="L314" s="1" t="b">
        <f>IF(OR(Table1[[#This Row],[Does not regard DAIC-WOZ]]=TRUE,Table1[[#This Row],[Does not use MAE]]=TRUE,Table1[[#This Row],[Does not introduce new model]]=TRUE,Table1[[#This Row],[Not in English]]=TRUE,Table1[[#This Row],[Not retrieved]]=TRUE),TRUE,FALSE)</f>
        <v>0</v>
      </c>
      <c r="M314" s="1"/>
      <c r="N314" s="1"/>
      <c r="O314" s="1"/>
      <c r="P314" s="1"/>
      <c r="Q314" s="1"/>
      <c r="R314" s="1"/>
      <c r="S314" s="1"/>
      <c r="T314" s="1"/>
      <c r="U314" s="1"/>
      <c r="V314" s="1"/>
      <c r="W314" s="1"/>
      <c r="X314" s="1"/>
      <c r="Y314" s="1"/>
      <c r="Z314" s="1"/>
      <c r="AA314" s="1"/>
      <c r="AB314" s="1"/>
      <c r="AC314" s="1"/>
      <c r="AD314" s="1"/>
      <c r="AE314" s="1"/>
      <c r="AF31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4" s="1"/>
    </row>
    <row r="315" spans="1:33" ht="29" hidden="1" x14ac:dyDescent="0.35">
      <c r="A315" s="1" t="s">
        <v>645</v>
      </c>
      <c r="B315" s="7" t="s">
        <v>646</v>
      </c>
      <c r="C315" t="s">
        <v>268</v>
      </c>
      <c r="E315" s="1" t="b">
        <v>1</v>
      </c>
      <c r="J315" s="1"/>
      <c r="K315" s="1"/>
      <c r="L315" s="1" t="b">
        <f>IF(OR(Table1[[#This Row],[Does not regard DAIC-WOZ]]=TRUE,Table1[[#This Row],[Does not use MAE]]=TRUE,Table1[[#This Row],[Does not introduce new model]]=TRUE,Table1[[#This Row],[Not in English]]=TRUE,Table1[[#This Row],[Not retrieved]]=TRUE),TRUE,FALSE)</f>
        <v>0</v>
      </c>
      <c r="M315" s="1"/>
      <c r="N315" s="1"/>
      <c r="O315" s="1"/>
      <c r="P315" s="1"/>
      <c r="Q315" s="1"/>
      <c r="R315" s="1"/>
      <c r="S315" s="1"/>
      <c r="T315" s="1"/>
      <c r="U315" s="1"/>
      <c r="V315" s="1"/>
      <c r="W315" s="1"/>
      <c r="X315" s="1"/>
      <c r="Y315" s="1"/>
      <c r="Z315" s="1"/>
      <c r="AA315" s="1"/>
      <c r="AB315" s="1"/>
      <c r="AC315" s="1"/>
      <c r="AD315" s="1"/>
      <c r="AE315" s="1"/>
      <c r="AF31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5" s="1"/>
    </row>
    <row r="316" spans="1:33" ht="29" hidden="1" x14ac:dyDescent="0.35">
      <c r="A316" s="1" t="s">
        <v>647</v>
      </c>
      <c r="B316" s="7" t="s">
        <v>648</v>
      </c>
      <c r="C316" t="s">
        <v>268</v>
      </c>
      <c r="E316" s="1" t="b">
        <v>1</v>
      </c>
      <c r="J316" s="1"/>
      <c r="K316" s="1"/>
      <c r="L316" s="1" t="b">
        <f>IF(OR(Table1[[#This Row],[Does not regard DAIC-WOZ]]=TRUE,Table1[[#This Row],[Does not use MAE]]=TRUE,Table1[[#This Row],[Does not introduce new model]]=TRUE,Table1[[#This Row],[Not in English]]=TRUE,Table1[[#This Row],[Not retrieved]]=TRUE),TRUE,FALSE)</f>
        <v>0</v>
      </c>
      <c r="M316" s="1"/>
      <c r="N316" s="1"/>
      <c r="O316" s="1"/>
      <c r="P316" s="1"/>
      <c r="Q316" s="1"/>
      <c r="R316" s="1"/>
      <c r="S316" s="1"/>
      <c r="T316" s="1"/>
      <c r="U316" s="1"/>
      <c r="V316" s="1"/>
      <c r="W316" s="1"/>
      <c r="X316" s="1"/>
      <c r="Y316" s="1"/>
      <c r="Z316" s="1"/>
      <c r="AA316" s="1"/>
      <c r="AB316" s="1"/>
      <c r="AC316" s="1"/>
      <c r="AD316" s="1"/>
      <c r="AE316" s="1"/>
      <c r="AF31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6" s="1"/>
    </row>
    <row r="317" spans="1:33" ht="43.5" hidden="1" x14ac:dyDescent="0.35">
      <c r="A317" s="1" t="s">
        <v>649</v>
      </c>
      <c r="B317" s="7" t="s">
        <v>650</v>
      </c>
      <c r="C317" t="s">
        <v>268</v>
      </c>
      <c r="E317" s="1" t="b">
        <v>1</v>
      </c>
      <c r="J317" s="1"/>
      <c r="K317" s="1"/>
      <c r="L317" s="1" t="b">
        <f>IF(OR(Table1[[#This Row],[Does not regard DAIC-WOZ]]=TRUE,Table1[[#This Row],[Does not use MAE]]=TRUE,Table1[[#This Row],[Does not introduce new model]]=TRUE,Table1[[#This Row],[Not in English]]=TRUE,Table1[[#This Row],[Not retrieved]]=TRUE),TRUE,FALSE)</f>
        <v>0</v>
      </c>
      <c r="M317" s="1"/>
      <c r="N317" s="1"/>
      <c r="O317" s="1"/>
      <c r="P317" s="1"/>
      <c r="Q317" s="1"/>
      <c r="R317" s="1"/>
      <c r="S317" s="1"/>
      <c r="T317" s="1"/>
      <c r="U317" s="1"/>
      <c r="V317" s="1"/>
      <c r="W317" s="1"/>
      <c r="X317" s="1"/>
      <c r="Y317" s="1"/>
      <c r="Z317" s="1"/>
      <c r="AA317" s="1"/>
      <c r="AB317" s="1"/>
      <c r="AC317" s="1"/>
      <c r="AD317" s="1"/>
      <c r="AE317" s="1"/>
      <c r="AF31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7" s="1"/>
    </row>
    <row r="318" spans="1:33" ht="159.5" hidden="1" x14ac:dyDescent="0.35">
      <c r="A318" s="1" t="s">
        <v>651</v>
      </c>
      <c r="B318" s="7" t="s">
        <v>652</v>
      </c>
      <c r="C318" t="s">
        <v>268</v>
      </c>
      <c r="E318" s="1" t="b">
        <v>0</v>
      </c>
      <c r="J318" s="1"/>
      <c r="K318" s="1"/>
      <c r="L318" s="1" t="b">
        <f>IF(OR(Table1[[#This Row],[Does not regard DAIC-WOZ]]=TRUE,Table1[[#This Row],[Does not use MAE]]=TRUE,Table1[[#This Row],[Does not introduce new model]]=TRUE,Table1[[#This Row],[Not in English]]=TRUE,Table1[[#This Row],[Not retrieved]]=TRUE),TRUE,FALSE)</f>
        <v>0</v>
      </c>
      <c r="M318" s="1" t="s">
        <v>908</v>
      </c>
      <c r="N318" s="1" t="s">
        <v>779</v>
      </c>
      <c r="O318" s="1" t="s">
        <v>766</v>
      </c>
      <c r="P318" s="1" t="s">
        <v>910</v>
      </c>
      <c r="Q318" s="1" t="s">
        <v>753</v>
      </c>
      <c r="R318" s="1" t="s">
        <v>909</v>
      </c>
      <c r="S318" s="1"/>
      <c r="T318" s="1" t="s">
        <v>769</v>
      </c>
      <c r="U318" s="1">
        <v>4.6340000000000003</v>
      </c>
      <c r="V318" s="1">
        <v>5.52</v>
      </c>
      <c r="W318" s="1" t="s">
        <v>753</v>
      </c>
      <c r="X318" s="1" t="s">
        <v>753</v>
      </c>
      <c r="Y318" s="1" t="s">
        <v>753</v>
      </c>
      <c r="Z318" s="1" t="s">
        <v>753</v>
      </c>
      <c r="AA318" s="1" t="s">
        <v>773</v>
      </c>
      <c r="AB318" s="1" t="s">
        <v>773</v>
      </c>
      <c r="AC318" s="1" t="s">
        <v>773</v>
      </c>
      <c r="AD318" s="1" t="s">
        <v>773</v>
      </c>
      <c r="AE318" s="1"/>
      <c r="AF318"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318" t="s">
        <v>911</v>
      </c>
    </row>
    <row r="319" spans="1:33" ht="29" hidden="1" x14ac:dyDescent="0.35">
      <c r="A319" s="1" t="s">
        <v>653</v>
      </c>
      <c r="B319" s="7" t="s">
        <v>654</v>
      </c>
      <c r="C319" t="s">
        <v>268</v>
      </c>
      <c r="E319" s="1" t="b">
        <v>1</v>
      </c>
      <c r="J319" s="1"/>
      <c r="K319" s="1"/>
      <c r="L319" s="1" t="b">
        <f>IF(OR(Table1[[#This Row],[Does not regard DAIC-WOZ]]=TRUE,Table1[[#This Row],[Does not use MAE]]=TRUE,Table1[[#This Row],[Does not introduce new model]]=TRUE,Table1[[#This Row],[Not in English]]=TRUE,Table1[[#This Row],[Not retrieved]]=TRUE),TRUE,FALSE)</f>
        <v>0</v>
      </c>
      <c r="M319" s="1"/>
      <c r="N319" s="1"/>
      <c r="O319" s="1"/>
      <c r="P319" s="1"/>
      <c r="Q319" s="1"/>
      <c r="R319" s="1"/>
      <c r="S319" s="1"/>
      <c r="T319" s="1"/>
      <c r="U319" s="1"/>
      <c r="V319" s="1"/>
      <c r="W319" s="1"/>
      <c r="X319" s="1"/>
      <c r="Y319" s="1"/>
      <c r="Z319" s="1"/>
      <c r="AA319" s="1"/>
      <c r="AB319" s="1"/>
      <c r="AC319" s="1"/>
      <c r="AD319" s="1"/>
      <c r="AE319" s="1"/>
      <c r="AF31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19" s="1"/>
    </row>
    <row r="320" spans="1:33" ht="29" hidden="1" x14ac:dyDescent="0.35">
      <c r="A320" s="1" t="s">
        <v>655</v>
      </c>
      <c r="B320" s="7" t="s">
        <v>656</v>
      </c>
      <c r="C320" t="s">
        <v>268</v>
      </c>
      <c r="E320" s="1" t="b">
        <v>1</v>
      </c>
      <c r="J320" s="1"/>
      <c r="K320" s="1"/>
      <c r="L320" s="1" t="b">
        <f>IF(OR(Table1[[#This Row],[Does not regard DAIC-WOZ]]=TRUE,Table1[[#This Row],[Does not use MAE]]=TRUE,Table1[[#This Row],[Does not introduce new model]]=TRUE,Table1[[#This Row],[Not in English]]=TRUE,Table1[[#This Row],[Not retrieved]]=TRUE),TRUE,FALSE)</f>
        <v>0</v>
      </c>
      <c r="M320" s="1"/>
      <c r="N320" s="1"/>
      <c r="O320" s="1"/>
      <c r="P320" s="1"/>
      <c r="Q320" s="1"/>
      <c r="R320" s="1"/>
      <c r="S320" s="1"/>
      <c r="T320" s="1"/>
      <c r="U320" s="1"/>
      <c r="V320" s="1"/>
      <c r="W320" s="1"/>
      <c r="X320" s="1"/>
      <c r="Y320" s="1"/>
      <c r="Z320" s="1"/>
      <c r="AA320" s="1"/>
      <c r="AB320" s="1"/>
      <c r="AC320" s="1"/>
      <c r="AD320" s="1"/>
      <c r="AE320" s="1"/>
      <c r="AF32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0" s="1"/>
    </row>
    <row r="321" spans="1:33" ht="43.5" hidden="1" x14ac:dyDescent="0.35">
      <c r="A321" s="1" t="s">
        <v>657</v>
      </c>
      <c r="B321" s="7" t="s">
        <v>658</v>
      </c>
      <c r="C321" t="s">
        <v>268</v>
      </c>
      <c r="E321" s="1" t="b">
        <v>1</v>
      </c>
      <c r="J321" s="1"/>
      <c r="K321" s="1"/>
      <c r="L321" s="1" t="b">
        <f>IF(OR(Table1[[#This Row],[Does not regard DAIC-WOZ]]=TRUE,Table1[[#This Row],[Does not use MAE]]=TRUE,Table1[[#This Row],[Does not introduce new model]]=TRUE,Table1[[#This Row],[Not in English]]=TRUE,Table1[[#This Row],[Not retrieved]]=TRUE),TRUE,FALSE)</f>
        <v>0</v>
      </c>
      <c r="M321" s="1"/>
      <c r="N321" s="1"/>
      <c r="O321" s="1"/>
      <c r="P321" s="1"/>
      <c r="Q321" s="1"/>
      <c r="R321" s="1"/>
      <c r="S321" s="1"/>
      <c r="T321" s="1"/>
      <c r="U321" s="1"/>
      <c r="V321" s="1"/>
      <c r="W321" s="1"/>
      <c r="X321" s="1"/>
      <c r="Y321" s="1"/>
      <c r="Z321" s="1"/>
      <c r="AA321" s="1"/>
      <c r="AB321" s="1"/>
      <c r="AC321" s="1"/>
      <c r="AD321" s="1"/>
      <c r="AE321" s="1"/>
      <c r="AF32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1" s="1"/>
    </row>
    <row r="322" spans="1:33" ht="29" hidden="1" x14ac:dyDescent="0.35">
      <c r="A322" s="1" t="s">
        <v>659</v>
      </c>
      <c r="B322" s="7" t="s">
        <v>660</v>
      </c>
      <c r="C322" t="s">
        <v>268</v>
      </c>
      <c r="E322" s="1" t="b">
        <v>1</v>
      </c>
      <c r="J322" s="1"/>
      <c r="K322" s="1"/>
      <c r="L322" s="1" t="b">
        <f>IF(OR(Table1[[#This Row],[Does not regard DAIC-WOZ]]=TRUE,Table1[[#This Row],[Does not use MAE]]=TRUE,Table1[[#This Row],[Does not introduce new model]]=TRUE,Table1[[#This Row],[Not in English]]=TRUE,Table1[[#This Row],[Not retrieved]]=TRUE),TRUE,FALSE)</f>
        <v>0</v>
      </c>
      <c r="M322" s="1"/>
      <c r="N322" s="1"/>
      <c r="O322" s="1"/>
      <c r="P322" s="1"/>
      <c r="Q322" s="1"/>
      <c r="R322" s="1"/>
      <c r="S322" s="1"/>
      <c r="T322" s="1"/>
      <c r="U322" s="1"/>
      <c r="V322" s="1"/>
      <c r="W322" s="1"/>
      <c r="X322" s="1"/>
      <c r="Y322" s="1"/>
      <c r="Z322" s="1"/>
      <c r="AA322" s="1"/>
      <c r="AB322" s="1"/>
      <c r="AC322" s="1"/>
      <c r="AD322" s="1"/>
      <c r="AE322" s="1"/>
      <c r="AF32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2" s="1"/>
    </row>
    <row r="323" spans="1:33" ht="43.5" hidden="1" x14ac:dyDescent="0.35">
      <c r="A323" s="1" t="s">
        <v>661</v>
      </c>
      <c r="B323" s="7" t="s">
        <v>662</v>
      </c>
      <c r="C323" t="s">
        <v>268</v>
      </c>
      <c r="E323" s="1" t="b">
        <v>1</v>
      </c>
      <c r="J323" s="1"/>
      <c r="K323" s="1"/>
      <c r="L323" s="1" t="b">
        <f>IF(OR(Table1[[#This Row],[Does not regard DAIC-WOZ]]=TRUE,Table1[[#This Row],[Does not use MAE]]=TRUE,Table1[[#This Row],[Does not introduce new model]]=TRUE,Table1[[#This Row],[Not in English]]=TRUE,Table1[[#This Row],[Not retrieved]]=TRUE),TRUE,FALSE)</f>
        <v>0</v>
      </c>
      <c r="M323" s="1"/>
      <c r="N323" s="1"/>
      <c r="O323" s="1"/>
      <c r="P323" s="1"/>
      <c r="Q323" s="1"/>
      <c r="R323" s="1"/>
      <c r="S323" s="1"/>
      <c r="T323" s="1"/>
      <c r="U323" s="1"/>
      <c r="V323" s="1"/>
      <c r="W323" s="1"/>
      <c r="X323" s="1"/>
      <c r="Y323" s="1"/>
      <c r="Z323" s="1"/>
      <c r="AA323" s="1"/>
      <c r="AB323" s="1"/>
      <c r="AC323" s="1"/>
      <c r="AD323" s="1"/>
      <c r="AE323" s="1"/>
      <c r="AF32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3" s="1"/>
    </row>
    <row r="324" spans="1:33" ht="29" hidden="1" x14ac:dyDescent="0.35">
      <c r="A324" s="1" t="s">
        <v>663</v>
      </c>
      <c r="B324" s="7" t="s">
        <v>664</v>
      </c>
      <c r="C324" t="s">
        <v>268</v>
      </c>
      <c r="E324" s="1" t="b">
        <v>1</v>
      </c>
      <c r="J324" s="1"/>
      <c r="K324" s="1"/>
      <c r="L324" s="1" t="b">
        <f>IF(OR(Table1[[#This Row],[Does not regard DAIC-WOZ]]=TRUE,Table1[[#This Row],[Does not use MAE]]=TRUE,Table1[[#This Row],[Does not introduce new model]]=TRUE,Table1[[#This Row],[Not in English]]=TRUE,Table1[[#This Row],[Not retrieved]]=TRUE),TRUE,FALSE)</f>
        <v>0</v>
      </c>
      <c r="M324" s="1"/>
      <c r="N324" s="1"/>
      <c r="O324" s="1"/>
      <c r="P324" s="1"/>
      <c r="Q324" s="1"/>
      <c r="R324" s="1"/>
      <c r="S324" s="1"/>
      <c r="T324" s="1"/>
      <c r="U324" s="1"/>
      <c r="V324" s="1"/>
      <c r="W324" s="1"/>
      <c r="X324" s="1"/>
      <c r="Y324" s="1"/>
      <c r="Z324" s="1"/>
      <c r="AA324" s="1"/>
      <c r="AB324" s="1"/>
      <c r="AC324" s="1"/>
      <c r="AD324" s="1"/>
      <c r="AE324" s="1"/>
      <c r="AF32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4" s="1"/>
    </row>
    <row r="325" spans="1:33" ht="29" hidden="1" x14ac:dyDescent="0.35">
      <c r="A325" s="1" t="s">
        <v>665</v>
      </c>
      <c r="B325" s="7" t="s">
        <v>666</v>
      </c>
      <c r="C325" t="s">
        <v>268</v>
      </c>
      <c r="E325" s="1" t="b">
        <v>1</v>
      </c>
      <c r="J325" s="1"/>
      <c r="K325" s="1"/>
      <c r="L325" s="1" t="b">
        <f>IF(OR(Table1[[#This Row],[Does not regard DAIC-WOZ]]=TRUE,Table1[[#This Row],[Does not use MAE]]=TRUE,Table1[[#This Row],[Does not introduce new model]]=TRUE,Table1[[#This Row],[Not in English]]=TRUE,Table1[[#This Row],[Not retrieved]]=TRUE),TRUE,FALSE)</f>
        <v>0</v>
      </c>
      <c r="M325" s="1"/>
      <c r="N325" s="1"/>
      <c r="O325" s="1"/>
      <c r="P325" s="1"/>
      <c r="Q325" s="1"/>
      <c r="R325" s="1"/>
      <c r="S325" s="1"/>
      <c r="T325" s="1"/>
      <c r="U325" s="1"/>
      <c r="V325" s="1"/>
      <c r="W325" s="1"/>
      <c r="X325" s="1"/>
      <c r="Y325" s="1"/>
      <c r="Z325" s="1"/>
      <c r="AA325" s="1"/>
      <c r="AB325" s="1"/>
      <c r="AC325" s="1"/>
      <c r="AD325" s="1"/>
      <c r="AE325" s="1"/>
      <c r="AF32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5" s="1"/>
    </row>
    <row r="326" spans="1:33" ht="43.5" hidden="1" x14ac:dyDescent="0.35">
      <c r="A326" s="1" t="s">
        <v>667</v>
      </c>
      <c r="B326" s="7" t="s">
        <v>668</v>
      </c>
      <c r="C326" t="s">
        <v>268</v>
      </c>
      <c r="E326" s="1" t="b">
        <v>1</v>
      </c>
      <c r="J326" s="1"/>
      <c r="K326" s="1"/>
      <c r="L326" s="1" t="b">
        <f>IF(OR(Table1[[#This Row],[Does not regard DAIC-WOZ]]=TRUE,Table1[[#This Row],[Does not use MAE]]=TRUE,Table1[[#This Row],[Does not introduce new model]]=TRUE,Table1[[#This Row],[Not in English]]=TRUE,Table1[[#This Row],[Not retrieved]]=TRUE),TRUE,FALSE)</f>
        <v>0</v>
      </c>
      <c r="M326" s="1"/>
      <c r="N326" s="1"/>
      <c r="O326" s="1"/>
      <c r="P326" s="1"/>
      <c r="Q326" s="1"/>
      <c r="R326" s="1"/>
      <c r="S326" s="1"/>
      <c r="T326" s="1"/>
      <c r="U326" s="1"/>
      <c r="V326" s="1"/>
      <c r="W326" s="1"/>
      <c r="X326" s="1"/>
      <c r="Y326" s="1"/>
      <c r="Z326" s="1"/>
      <c r="AA326" s="1"/>
      <c r="AB326" s="1"/>
      <c r="AC326" s="1"/>
      <c r="AD326" s="1"/>
      <c r="AE326" s="1"/>
      <c r="AF32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6" s="1"/>
    </row>
    <row r="327" spans="1:33" ht="43.5" hidden="1" x14ac:dyDescent="0.35">
      <c r="A327" s="1" t="s">
        <v>669</v>
      </c>
      <c r="B327" s="7" t="s">
        <v>670</v>
      </c>
      <c r="C327" t="s">
        <v>268</v>
      </c>
      <c r="E327" s="1" t="b">
        <v>1</v>
      </c>
      <c r="J327" s="1"/>
      <c r="K327" s="1"/>
      <c r="L327" s="1" t="b">
        <f>IF(OR(Table1[[#This Row],[Does not regard DAIC-WOZ]]=TRUE,Table1[[#This Row],[Does not use MAE]]=TRUE,Table1[[#This Row],[Does not introduce new model]]=TRUE,Table1[[#This Row],[Not in English]]=TRUE,Table1[[#This Row],[Not retrieved]]=TRUE),TRUE,FALSE)</f>
        <v>0</v>
      </c>
      <c r="M327" s="1"/>
      <c r="N327" s="1"/>
      <c r="O327" s="1"/>
      <c r="P327" s="1"/>
      <c r="Q327" s="1"/>
      <c r="R327" s="1"/>
      <c r="S327" s="1"/>
      <c r="T327" s="1"/>
      <c r="U327" s="1"/>
      <c r="V327" s="1"/>
      <c r="W327" s="1"/>
      <c r="X327" s="1"/>
      <c r="Y327" s="1"/>
      <c r="Z327" s="1"/>
      <c r="AA327" s="1"/>
      <c r="AB327" s="1"/>
      <c r="AC327" s="1"/>
      <c r="AD327" s="1"/>
      <c r="AE327" s="1"/>
      <c r="AF32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7" s="1"/>
    </row>
    <row r="328" spans="1:33" ht="43.5" hidden="1" x14ac:dyDescent="0.35">
      <c r="A328" s="1" t="s">
        <v>671</v>
      </c>
      <c r="B328" s="7" t="s">
        <v>672</v>
      </c>
      <c r="C328" t="s">
        <v>268</v>
      </c>
      <c r="D328" s="1"/>
      <c r="E328" s="1" t="b">
        <v>0</v>
      </c>
      <c r="F328" s="1" t="s">
        <v>720</v>
      </c>
      <c r="G328" s="1" t="b">
        <v>1</v>
      </c>
      <c r="J328" s="1"/>
      <c r="K328" s="1"/>
      <c r="L328" s="1" t="b">
        <f>IF(OR(Table1[[#This Row],[Does not regard DAIC-WOZ]]=TRUE,Table1[[#This Row],[Does not use MAE]]=TRUE,Table1[[#This Row],[Does not introduce new model]]=TRUE,Table1[[#This Row],[Not in English]]=TRUE,Table1[[#This Row],[Not retrieved]]=TRUE),TRUE,FALSE)</f>
        <v>1</v>
      </c>
      <c r="M328" s="1"/>
      <c r="N328" s="1"/>
      <c r="O328" s="1"/>
      <c r="P328" s="1"/>
      <c r="Q328" s="1"/>
      <c r="R328" s="1"/>
      <c r="S328" s="1"/>
      <c r="T328" s="1"/>
      <c r="U328" s="1"/>
      <c r="V328" s="1"/>
      <c r="W328" s="1"/>
      <c r="X328" s="1"/>
      <c r="Y328" s="1"/>
      <c r="Z328" s="1"/>
      <c r="AA328" s="1"/>
      <c r="AB328" s="1"/>
      <c r="AC328" s="1"/>
      <c r="AD328" s="1"/>
      <c r="AE328" s="1"/>
      <c r="AF328"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8" s="1"/>
    </row>
    <row r="329" spans="1:33" ht="29" hidden="1" x14ac:dyDescent="0.35">
      <c r="A329" s="1" t="s">
        <v>673</v>
      </c>
      <c r="B329" s="7" t="s">
        <v>674</v>
      </c>
      <c r="C329" t="s">
        <v>268</v>
      </c>
      <c r="E329" s="1" t="b">
        <v>1</v>
      </c>
      <c r="J329" s="1"/>
      <c r="K329" s="1"/>
      <c r="L329" s="1" t="b">
        <f>IF(OR(Table1[[#This Row],[Does not regard DAIC-WOZ]]=TRUE,Table1[[#This Row],[Does not use MAE]]=TRUE,Table1[[#This Row],[Does not introduce new model]]=TRUE,Table1[[#This Row],[Not in English]]=TRUE,Table1[[#This Row],[Not retrieved]]=TRUE),TRUE,FALSE)</f>
        <v>0</v>
      </c>
      <c r="M329" s="1"/>
      <c r="N329" s="1"/>
      <c r="O329" s="1"/>
      <c r="P329" s="1"/>
      <c r="Q329" s="1"/>
      <c r="R329" s="1"/>
      <c r="S329" s="1"/>
      <c r="T329" s="1"/>
      <c r="U329" s="1"/>
      <c r="V329" s="1"/>
      <c r="W329" s="1"/>
      <c r="X329" s="1"/>
      <c r="Y329" s="1"/>
      <c r="Z329" s="1"/>
      <c r="AA329" s="1"/>
      <c r="AB329" s="1"/>
      <c r="AC329" s="1"/>
      <c r="AD329" s="1"/>
      <c r="AE329" s="1"/>
      <c r="AF32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29" s="1"/>
    </row>
    <row r="330" spans="1:33" ht="29" hidden="1" x14ac:dyDescent="0.35">
      <c r="A330" s="1" t="s">
        <v>675</v>
      </c>
      <c r="B330" s="7" t="s">
        <v>676</v>
      </c>
      <c r="C330" t="s">
        <v>268</v>
      </c>
      <c r="E330" s="1" t="b">
        <v>1</v>
      </c>
      <c r="J330" s="1"/>
      <c r="K330" s="1"/>
      <c r="L330" s="1" t="b">
        <f>IF(OR(Table1[[#This Row],[Does not regard DAIC-WOZ]]=TRUE,Table1[[#This Row],[Does not use MAE]]=TRUE,Table1[[#This Row],[Does not introduce new model]]=TRUE,Table1[[#This Row],[Not in English]]=TRUE,Table1[[#This Row],[Not retrieved]]=TRUE),TRUE,FALSE)</f>
        <v>0</v>
      </c>
      <c r="M330" s="1"/>
      <c r="N330" s="1"/>
      <c r="O330" s="1"/>
      <c r="P330" s="1"/>
      <c r="Q330" s="1"/>
      <c r="R330" s="1"/>
      <c r="S330" s="1"/>
      <c r="T330" s="1"/>
      <c r="U330" s="1"/>
      <c r="V330" s="1"/>
      <c r="W330" s="1"/>
      <c r="X330" s="1"/>
      <c r="Y330" s="1"/>
      <c r="Z330" s="1"/>
      <c r="AA330" s="1"/>
      <c r="AB330" s="1"/>
      <c r="AC330" s="1"/>
      <c r="AD330" s="1"/>
      <c r="AE330" s="1"/>
      <c r="AF33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0" s="1"/>
    </row>
    <row r="331" spans="1:33" ht="43.5" hidden="1" x14ac:dyDescent="0.35">
      <c r="A331" s="1" t="s">
        <v>677</v>
      </c>
      <c r="B331" s="7" t="s">
        <v>678</v>
      </c>
      <c r="C331" t="s">
        <v>268</v>
      </c>
      <c r="E331" s="1" t="b">
        <v>1</v>
      </c>
      <c r="J331" s="1"/>
      <c r="K331" s="1"/>
      <c r="L331" s="1" t="b">
        <f>IF(OR(Table1[[#This Row],[Does not regard DAIC-WOZ]]=TRUE,Table1[[#This Row],[Does not use MAE]]=TRUE,Table1[[#This Row],[Does not introduce new model]]=TRUE,Table1[[#This Row],[Not in English]]=TRUE,Table1[[#This Row],[Not retrieved]]=TRUE),TRUE,FALSE)</f>
        <v>0</v>
      </c>
      <c r="M331" s="1"/>
      <c r="N331" s="1"/>
      <c r="O331" s="1"/>
      <c r="P331" s="1"/>
      <c r="Q331" s="1"/>
      <c r="R331" s="1"/>
      <c r="S331" s="1"/>
      <c r="T331" s="1"/>
      <c r="U331" s="1"/>
      <c r="V331" s="1"/>
      <c r="W331" s="1"/>
      <c r="X331" s="1"/>
      <c r="Y331" s="1"/>
      <c r="Z331" s="1"/>
      <c r="AA331" s="1"/>
      <c r="AB331" s="1"/>
      <c r="AC331" s="1"/>
      <c r="AD331" s="1"/>
      <c r="AE331" s="1"/>
      <c r="AF33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1" s="1"/>
    </row>
    <row r="332" spans="1:33" ht="29" hidden="1" x14ac:dyDescent="0.35">
      <c r="A332" s="1" t="s">
        <v>679</v>
      </c>
      <c r="B332" s="7" t="s">
        <v>680</v>
      </c>
      <c r="C332" t="s">
        <v>268</v>
      </c>
      <c r="E332" s="1" t="b">
        <v>1</v>
      </c>
      <c r="J332" s="1"/>
      <c r="K332" s="1"/>
      <c r="L332" s="1" t="b">
        <f>IF(OR(Table1[[#This Row],[Does not regard DAIC-WOZ]]=TRUE,Table1[[#This Row],[Does not use MAE]]=TRUE,Table1[[#This Row],[Does not introduce new model]]=TRUE,Table1[[#This Row],[Not in English]]=TRUE,Table1[[#This Row],[Not retrieved]]=TRUE),TRUE,FALSE)</f>
        <v>0</v>
      </c>
      <c r="M332" s="1"/>
      <c r="N332" s="1"/>
      <c r="O332" s="1"/>
      <c r="P332" s="1"/>
      <c r="Q332" s="1"/>
      <c r="R332" s="1"/>
      <c r="S332" s="1"/>
      <c r="T332" s="1"/>
      <c r="U332" s="1"/>
      <c r="V332" s="1"/>
      <c r="W332" s="1"/>
      <c r="X332" s="1"/>
      <c r="Y332" s="1"/>
      <c r="Z332" s="1"/>
      <c r="AA332" s="1"/>
      <c r="AB332" s="1"/>
      <c r="AC332" s="1"/>
      <c r="AD332" s="1"/>
      <c r="AE332" s="1"/>
      <c r="AF33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2" s="1"/>
    </row>
    <row r="333" spans="1:33" ht="29" hidden="1" x14ac:dyDescent="0.35">
      <c r="A333" s="1" t="s">
        <v>681</v>
      </c>
      <c r="B333" s="7" t="s">
        <v>682</v>
      </c>
      <c r="C333" t="s">
        <v>268</v>
      </c>
      <c r="D333" s="1"/>
      <c r="E333" s="1" t="b">
        <v>0</v>
      </c>
      <c r="F333" s="1" t="s">
        <v>732</v>
      </c>
      <c r="G333" s="1" t="b">
        <v>1</v>
      </c>
      <c r="J333" s="1"/>
      <c r="K333" s="1"/>
      <c r="L333" s="1" t="b">
        <f>IF(OR(Table1[[#This Row],[Does not regard DAIC-WOZ]]=TRUE,Table1[[#This Row],[Does not use MAE]]=TRUE,Table1[[#This Row],[Does not introduce new model]]=TRUE,Table1[[#This Row],[Not in English]]=TRUE,Table1[[#This Row],[Not retrieved]]=TRUE),TRUE,FALSE)</f>
        <v>1</v>
      </c>
      <c r="M333" s="1"/>
      <c r="N333" s="1"/>
      <c r="O333" s="1"/>
      <c r="P333" s="1"/>
      <c r="Q333" s="1"/>
      <c r="R333" s="1"/>
      <c r="S333" s="1"/>
      <c r="T333" s="1"/>
      <c r="U333" s="1"/>
      <c r="V333" s="1"/>
      <c r="W333" s="1"/>
      <c r="X333" s="1"/>
      <c r="Y333" s="1"/>
      <c r="Z333" s="1"/>
      <c r="AA333" s="1"/>
      <c r="AB333" s="1"/>
      <c r="AC333" s="1"/>
      <c r="AD333" s="1"/>
      <c r="AE333" s="1"/>
      <c r="AF33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3" s="1"/>
    </row>
    <row r="334" spans="1:33" ht="58" hidden="1" x14ac:dyDescent="0.35">
      <c r="A334" s="1" t="s">
        <v>683</v>
      </c>
      <c r="B334" s="7" t="s">
        <v>684</v>
      </c>
      <c r="C334" t="s">
        <v>268</v>
      </c>
      <c r="E334" s="1" t="b">
        <v>1</v>
      </c>
      <c r="J334" s="1"/>
      <c r="K334" s="1"/>
      <c r="L334" s="1" t="b">
        <f>IF(OR(Table1[[#This Row],[Does not regard DAIC-WOZ]]=TRUE,Table1[[#This Row],[Does not use MAE]]=TRUE,Table1[[#This Row],[Does not introduce new model]]=TRUE,Table1[[#This Row],[Not in English]]=TRUE,Table1[[#This Row],[Not retrieved]]=TRUE),TRUE,FALSE)</f>
        <v>0</v>
      </c>
      <c r="M334" s="1"/>
      <c r="N334" s="1"/>
      <c r="O334" s="1"/>
      <c r="P334" s="1"/>
      <c r="Q334" s="1"/>
      <c r="R334" s="1"/>
      <c r="S334" s="1"/>
      <c r="T334" s="1"/>
      <c r="U334" s="1"/>
      <c r="V334" s="1"/>
      <c r="W334" s="1"/>
      <c r="X334" s="1"/>
      <c r="Y334" s="1"/>
      <c r="Z334" s="1"/>
      <c r="AA334" s="1"/>
      <c r="AB334" s="1"/>
      <c r="AC334" s="1"/>
      <c r="AD334" s="1"/>
      <c r="AE334" s="1"/>
      <c r="AF33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4" s="1"/>
    </row>
    <row r="335" spans="1:33" ht="43.5" hidden="1" x14ac:dyDescent="0.35">
      <c r="A335" s="1" t="s">
        <v>685</v>
      </c>
      <c r="B335" s="7" t="s">
        <v>686</v>
      </c>
      <c r="C335" t="s">
        <v>268</v>
      </c>
      <c r="E335" s="1" t="b">
        <v>1</v>
      </c>
      <c r="J335" s="1"/>
      <c r="K335" s="1"/>
      <c r="L335" s="1" t="b">
        <f>IF(OR(Table1[[#This Row],[Does not regard DAIC-WOZ]]=TRUE,Table1[[#This Row],[Does not use MAE]]=TRUE,Table1[[#This Row],[Does not introduce new model]]=TRUE,Table1[[#This Row],[Not in English]]=TRUE,Table1[[#This Row],[Not retrieved]]=TRUE),TRUE,FALSE)</f>
        <v>0</v>
      </c>
      <c r="M335" s="1"/>
      <c r="N335" s="1"/>
      <c r="O335" s="1"/>
      <c r="P335" s="1"/>
      <c r="Q335" s="1"/>
      <c r="R335" s="1"/>
      <c r="S335" s="1"/>
      <c r="T335" s="1"/>
      <c r="U335" s="1"/>
      <c r="V335" s="1"/>
      <c r="W335" s="1"/>
      <c r="X335" s="1"/>
      <c r="Y335" s="1"/>
      <c r="Z335" s="1"/>
      <c r="AA335" s="1"/>
      <c r="AB335" s="1"/>
      <c r="AC335" s="1"/>
      <c r="AD335" s="1"/>
      <c r="AE335" s="1"/>
      <c r="AF33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5" s="1"/>
    </row>
    <row r="336" spans="1:33" ht="29" hidden="1" x14ac:dyDescent="0.35">
      <c r="A336" s="1" t="s">
        <v>687</v>
      </c>
      <c r="B336" s="7" t="s">
        <v>688</v>
      </c>
      <c r="C336" t="s">
        <v>268</v>
      </c>
      <c r="E336" s="1" t="b">
        <v>1</v>
      </c>
      <c r="J336" s="1"/>
      <c r="K336" s="1"/>
      <c r="L336" s="1" t="b">
        <f>IF(OR(Table1[[#This Row],[Does not regard DAIC-WOZ]]=TRUE,Table1[[#This Row],[Does not use MAE]]=TRUE,Table1[[#This Row],[Does not introduce new model]]=TRUE,Table1[[#This Row],[Not in English]]=TRUE,Table1[[#This Row],[Not retrieved]]=TRUE),TRUE,FALSE)</f>
        <v>0</v>
      </c>
      <c r="M336" s="1"/>
      <c r="N336" s="1"/>
      <c r="O336" s="1"/>
      <c r="P336" s="1"/>
      <c r="Q336" s="1"/>
      <c r="R336" s="1"/>
      <c r="S336" s="1"/>
      <c r="T336" s="1"/>
      <c r="U336" s="1"/>
      <c r="V336" s="1"/>
      <c r="W336" s="1"/>
      <c r="X336" s="1"/>
      <c r="Y336" s="1"/>
      <c r="Z336" s="1"/>
      <c r="AA336" s="1"/>
      <c r="AB336" s="1"/>
      <c r="AC336" s="1"/>
      <c r="AD336" s="1"/>
      <c r="AE336" s="1"/>
      <c r="AF33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6" s="1"/>
    </row>
    <row r="337" spans="1:33" ht="43.5" hidden="1" x14ac:dyDescent="0.35">
      <c r="A337" s="1" t="s">
        <v>689</v>
      </c>
      <c r="B337" s="7" t="s">
        <v>690</v>
      </c>
      <c r="C337" t="s">
        <v>268</v>
      </c>
      <c r="E337" s="1" t="b">
        <v>1</v>
      </c>
      <c r="J337" s="1"/>
      <c r="K337" s="1"/>
      <c r="L337" s="1" t="b">
        <f>IF(OR(Table1[[#This Row],[Does not regard DAIC-WOZ]]=TRUE,Table1[[#This Row],[Does not use MAE]]=TRUE,Table1[[#This Row],[Does not introduce new model]]=TRUE,Table1[[#This Row],[Not in English]]=TRUE,Table1[[#This Row],[Not retrieved]]=TRUE),TRUE,FALSE)</f>
        <v>0</v>
      </c>
      <c r="M337" s="1"/>
      <c r="N337" s="1"/>
      <c r="O337" s="1"/>
      <c r="P337" s="1"/>
      <c r="Q337" s="1"/>
      <c r="R337" s="1"/>
      <c r="S337" s="1"/>
      <c r="T337" s="1"/>
      <c r="U337" s="1"/>
      <c r="V337" s="1"/>
      <c r="W337" s="1"/>
      <c r="X337" s="1"/>
      <c r="Y337" s="1"/>
      <c r="Z337" s="1"/>
      <c r="AA337" s="1"/>
      <c r="AB337" s="1"/>
      <c r="AC337" s="1"/>
      <c r="AD337" s="1"/>
      <c r="AE337" s="1"/>
      <c r="AF337"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37" s="1"/>
    </row>
    <row r="338" spans="1:33" ht="116" hidden="1" x14ac:dyDescent="0.35">
      <c r="A338" s="1" t="s">
        <v>797</v>
      </c>
      <c r="B338" s="7" t="s">
        <v>798</v>
      </c>
      <c r="C338" t="s">
        <v>799</v>
      </c>
      <c r="E338" s="1" t="b">
        <v>0</v>
      </c>
      <c r="J338" s="1"/>
      <c r="K338" s="1"/>
      <c r="L338" s="1" t="b">
        <f>IF(OR(Table1[[#This Row],[Does not regard DAIC-WOZ]]=TRUE,Table1[[#This Row],[Does not use MAE]]=TRUE,Table1[[#This Row],[Does not introduce new model]]=TRUE,Table1[[#This Row],[Not in English]]=TRUE,Table1[[#This Row],[Not retrieved]]=TRUE),TRUE,FALSE)</f>
        <v>0</v>
      </c>
      <c r="M338" s="1" t="s">
        <v>912</v>
      </c>
      <c r="N338" s="1" t="s">
        <v>779</v>
      </c>
      <c r="O338" s="1" t="s">
        <v>788</v>
      </c>
      <c r="P338" s="1" t="s">
        <v>913</v>
      </c>
      <c r="Q338" s="1" t="s">
        <v>753</v>
      </c>
      <c r="R338" s="1" t="s">
        <v>914</v>
      </c>
      <c r="S338" s="1"/>
      <c r="T338" s="1" t="s">
        <v>784</v>
      </c>
      <c r="U338" s="1">
        <v>2.77</v>
      </c>
      <c r="V338" s="1">
        <v>3.54</v>
      </c>
      <c r="W338" s="1" t="s">
        <v>753</v>
      </c>
      <c r="X338" s="1">
        <v>3.96</v>
      </c>
      <c r="Y338" s="1">
        <v>4.99</v>
      </c>
      <c r="Z338" s="1" t="s">
        <v>753</v>
      </c>
      <c r="AA338" s="1" t="s">
        <v>773</v>
      </c>
      <c r="AB338" s="1" t="s">
        <v>778</v>
      </c>
      <c r="AC338" s="1" t="s">
        <v>778</v>
      </c>
      <c r="AD338" s="1" t="s">
        <v>773</v>
      </c>
      <c r="AE338" s="1"/>
      <c r="AF338" s="1" t="b">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0</v>
      </c>
      <c r="AG338" t="s">
        <v>915</v>
      </c>
    </row>
    <row r="339" spans="1:33" ht="29" hidden="1" x14ac:dyDescent="0.35">
      <c r="A339" s="1" t="s">
        <v>691</v>
      </c>
      <c r="B339" s="7" t="s">
        <v>692</v>
      </c>
      <c r="C339" t="s">
        <v>268</v>
      </c>
      <c r="E339" s="1" t="b">
        <v>1</v>
      </c>
      <c r="J339" s="1"/>
      <c r="K339" s="1"/>
      <c r="L339" s="1" t="b">
        <f>IF(OR(Table1[[#This Row],[Does not regard DAIC-WOZ]]=TRUE,Table1[[#This Row],[Does not use MAE]]=TRUE,Table1[[#This Row],[Does not introduce new model]]=TRUE,Table1[[#This Row],[Not in English]]=TRUE,Table1[[#This Row],[Not retrieved]]=TRUE),TRUE,FALSE)</f>
        <v>0</v>
      </c>
      <c r="M339" s="1" t="s">
        <v>756</v>
      </c>
      <c r="N339" s="1"/>
      <c r="O339" s="1"/>
      <c r="P339" s="1"/>
      <c r="Q339" s="1"/>
      <c r="R339" s="1"/>
      <c r="S339" s="1"/>
      <c r="T339" s="1"/>
      <c r="U339" s="1"/>
      <c r="V339" s="1"/>
      <c r="W339" s="1"/>
      <c r="X339" s="1"/>
      <c r="Y339" s="1"/>
      <c r="Z339" s="1"/>
      <c r="AA339" s="1"/>
      <c r="AB339" s="1"/>
      <c r="AC339" s="1"/>
      <c r="AD339" s="1"/>
      <c r="AE339" s="1"/>
      <c r="AF339"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row>
    <row r="340" spans="1:33" ht="29" hidden="1" x14ac:dyDescent="0.35">
      <c r="A340" s="1" t="s">
        <v>693</v>
      </c>
      <c r="B340" s="7" t="s">
        <v>694</v>
      </c>
      <c r="C340" t="s">
        <v>268</v>
      </c>
      <c r="E340" s="1" t="b">
        <v>1</v>
      </c>
      <c r="J340" s="1"/>
      <c r="K340" s="1"/>
      <c r="L340" s="1" t="b">
        <f>IF(OR(Table1[[#This Row],[Does not regard DAIC-WOZ]]=TRUE,Table1[[#This Row],[Does not use MAE]]=TRUE,Table1[[#This Row],[Does not introduce new model]]=TRUE,Table1[[#This Row],[Not in English]]=TRUE,Table1[[#This Row],[Not retrieved]]=TRUE),TRUE,FALSE)</f>
        <v>0</v>
      </c>
      <c r="M340" s="1"/>
      <c r="N340" s="1"/>
      <c r="O340" s="1"/>
      <c r="P340" s="1"/>
      <c r="Q340" s="1"/>
      <c r="R340" s="1"/>
      <c r="S340" s="1"/>
      <c r="T340" s="1"/>
      <c r="U340" s="1"/>
      <c r="V340" s="1"/>
      <c r="W340" s="1"/>
      <c r="X340" s="1"/>
      <c r="Y340" s="1"/>
      <c r="Z340" s="1"/>
      <c r="AA340" s="1"/>
      <c r="AB340" s="1"/>
      <c r="AC340" s="1"/>
      <c r="AD340" s="1"/>
      <c r="AE340" s="1"/>
      <c r="AF340"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40" s="1"/>
    </row>
    <row r="341" spans="1:33" ht="43.5" hidden="1" x14ac:dyDescent="0.35">
      <c r="A341" s="1" t="s">
        <v>695</v>
      </c>
      <c r="B341" s="7" t="s">
        <v>696</v>
      </c>
      <c r="C341" t="s">
        <v>268</v>
      </c>
      <c r="D341" s="1"/>
      <c r="E341" s="1" t="b">
        <v>0</v>
      </c>
      <c r="J341" s="1" t="b">
        <v>1</v>
      </c>
      <c r="K341" s="1"/>
      <c r="L341" s="1" t="b">
        <f>IF(OR(Table1[[#This Row],[Does not regard DAIC-WOZ]]=TRUE,Table1[[#This Row],[Does not use MAE]]=TRUE,Table1[[#This Row],[Does not introduce new model]]=TRUE,Table1[[#This Row],[Not in English]]=TRUE,Table1[[#This Row],[Not retrieved]]=TRUE),TRUE,FALSE)</f>
        <v>1</v>
      </c>
      <c r="M341" s="1"/>
      <c r="N341" s="1"/>
      <c r="O341" s="1"/>
      <c r="P341" s="1"/>
      <c r="Q341" s="1"/>
      <c r="R341" s="1"/>
      <c r="S341" s="1"/>
      <c r="T341" s="1"/>
      <c r="U341" s="1"/>
      <c r="V341" s="1"/>
      <c r="W341" s="1"/>
      <c r="X341" s="1"/>
      <c r="Y341" s="1"/>
      <c r="Z341" s="1"/>
      <c r="AA341" s="1"/>
      <c r="AB341" s="1"/>
      <c r="AC341" s="1"/>
      <c r="AD341" s="1"/>
      <c r="AE341" s="1"/>
      <c r="AF341"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41" s="1"/>
    </row>
    <row r="342" spans="1:33" ht="29" hidden="1" x14ac:dyDescent="0.35">
      <c r="A342" s="1" t="s">
        <v>697</v>
      </c>
      <c r="B342" s="7" t="s">
        <v>698</v>
      </c>
      <c r="C342" t="s">
        <v>268</v>
      </c>
      <c r="D342" s="1"/>
      <c r="E342" s="1" t="b">
        <v>0</v>
      </c>
      <c r="J342" s="1" t="b">
        <v>1</v>
      </c>
      <c r="K342" s="1"/>
      <c r="L342" s="1" t="b">
        <f>IF(OR(Table1[[#This Row],[Does not regard DAIC-WOZ]]=TRUE,Table1[[#This Row],[Does not use MAE]]=TRUE,Table1[[#This Row],[Does not introduce new model]]=TRUE,Table1[[#This Row],[Not in English]]=TRUE,Table1[[#This Row],[Not retrieved]]=TRUE),TRUE,FALSE)</f>
        <v>1</v>
      </c>
      <c r="M342" s="1"/>
      <c r="N342" s="1"/>
      <c r="O342" s="1"/>
      <c r="P342" s="1"/>
      <c r="Q342" s="1"/>
      <c r="R342" s="1"/>
      <c r="S342" s="1"/>
      <c r="T342" s="1"/>
      <c r="U342" s="1"/>
      <c r="V342" s="1"/>
      <c r="W342" s="1"/>
      <c r="X342" s="1"/>
      <c r="Y342" s="1"/>
      <c r="Z342" s="1"/>
      <c r="AA342" s="1"/>
      <c r="AB342" s="1"/>
      <c r="AC342" s="1"/>
      <c r="AD342" s="1"/>
      <c r="AE342" s="1"/>
      <c r="AF342"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42" s="1"/>
    </row>
    <row r="343" spans="1:33" hidden="1" x14ac:dyDescent="0.35">
      <c r="A343" s="1" t="s">
        <v>699</v>
      </c>
      <c r="B343" s="7" t="s">
        <v>700</v>
      </c>
      <c r="C343" t="s">
        <v>268</v>
      </c>
      <c r="E343" s="1" t="b">
        <v>1</v>
      </c>
      <c r="J343" s="1"/>
      <c r="K343" s="1"/>
      <c r="L343" s="1" t="b">
        <f>IF(OR(Table1[[#This Row],[Does not regard DAIC-WOZ]]=TRUE,Table1[[#This Row],[Does not use MAE]]=TRUE,Table1[[#This Row],[Does not introduce new model]]=TRUE,Table1[[#This Row],[Not in English]]=TRUE,Table1[[#This Row],[Not retrieved]]=TRUE),TRUE,FALSE)</f>
        <v>0</v>
      </c>
      <c r="M343" s="1"/>
      <c r="N343" s="1"/>
      <c r="O343" s="1"/>
      <c r="P343" s="1"/>
      <c r="Q343" s="1"/>
      <c r="R343" s="1"/>
      <c r="S343" s="1"/>
      <c r="T343" s="1"/>
      <c r="U343" s="1"/>
      <c r="V343" s="1"/>
      <c r="W343" s="1"/>
      <c r="X343" s="1"/>
      <c r="Y343" s="1"/>
      <c r="Z343" s="1"/>
      <c r="AA343" s="1"/>
      <c r="AB343" s="1"/>
      <c r="AC343" s="1"/>
      <c r="AD343" s="1"/>
      <c r="AE343" s="1"/>
      <c r="AF343"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43" s="1"/>
    </row>
    <row r="344" spans="1:33" ht="29" hidden="1" x14ac:dyDescent="0.35">
      <c r="A344" s="1" t="s">
        <v>701</v>
      </c>
      <c r="B344" s="7" t="s">
        <v>702</v>
      </c>
      <c r="C344" t="s">
        <v>268</v>
      </c>
      <c r="E344" s="1" t="b">
        <v>1</v>
      </c>
      <c r="J344" s="1"/>
      <c r="K344" s="1"/>
      <c r="L344" s="1" t="b">
        <f>IF(OR(Table1[[#This Row],[Does not regard DAIC-WOZ]]=TRUE,Table1[[#This Row],[Does not use MAE]]=TRUE,Table1[[#This Row],[Does not introduce new model]]=TRUE,Table1[[#This Row],[Not in English]]=TRUE,Table1[[#This Row],[Not retrieved]]=TRUE),TRUE,FALSE)</f>
        <v>0</v>
      </c>
      <c r="M344" s="1"/>
      <c r="N344" s="1"/>
      <c r="O344" s="1"/>
      <c r="P344" s="1"/>
      <c r="Q344" s="1"/>
      <c r="R344" s="1"/>
      <c r="S344" s="1"/>
      <c r="T344" s="1"/>
      <c r="U344" s="1"/>
      <c r="V344" s="1"/>
      <c r="W344" s="1"/>
      <c r="X344" s="1"/>
      <c r="Y344" s="1"/>
      <c r="Z344" s="1"/>
      <c r="AA344" s="1"/>
      <c r="AB344" s="1"/>
      <c r="AC344" s="1"/>
      <c r="AD344" s="1"/>
      <c r="AE344" s="1"/>
      <c r="AF344"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44" s="1"/>
    </row>
    <row r="345" spans="1:33" ht="43.5" hidden="1" x14ac:dyDescent="0.35">
      <c r="A345" s="1" t="s">
        <v>703</v>
      </c>
      <c r="B345" s="7" t="s">
        <v>704</v>
      </c>
      <c r="C345" t="s">
        <v>268</v>
      </c>
      <c r="E345" s="1" t="b">
        <v>1</v>
      </c>
      <c r="J345" s="1"/>
      <c r="K345" s="1"/>
      <c r="L345" s="1" t="b">
        <f>IF(OR(Table1[[#This Row],[Does not regard DAIC-WOZ]]=TRUE,Table1[[#This Row],[Does not use MAE]]=TRUE,Table1[[#This Row],[Does not introduce new model]]=TRUE,Table1[[#This Row],[Not in English]]=TRUE,Table1[[#This Row],[Not retrieved]]=TRUE),TRUE,FALSE)</f>
        <v>0</v>
      </c>
      <c r="M345" s="1"/>
      <c r="N345" s="1"/>
      <c r="O345" s="1"/>
      <c r="P345" s="1"/>
      <c r="Q345" s="1"/>
      <c r="R345" s="1"/>
      <c r="S345" s="1"/>
      <c r="T345" s="1"/>
      <c r="U345" s="1"/>
      <c r="V345" s="1"/>
      <c r="W345" s="1"/>
      <c r="X345" s="1"/>
      <c r="Y345" s="1"/>
      <c r="Z345" s="1"/>
      <c r="AA345" s="1"/>
      <c r="AB345" s="1"/>
      <c r="AC345" s="1"/>
      <c r="AD345" s="1"/>
      <c r="AE345" s="1"/>
      <c r="AF345"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45" s="1"/>
    </row>
    <row r="346" spans="1:33" hidden="1" x14ac:dyDescent="0.35">
      <c r="A346" s="1" t="s">
        <v>705</v>
      </c>
      <c r="B346" s="7" t="s">
        <v>706</v>
      </c>
      <c r="C346" t="s">
        <v>268</v>
      </c>
      <c r="E346" s="1" t="b">
        <v>1</v>
      </c>
      <c r="J346" s="1"/>
      <c r="K346" s="1"/>
      <c r="L346" s="1" t="b">
        <f>IF(OR(Table1[[#This Row],[Does not regard DAIC-WOZ]]=TRUE,Table1[[#This Row],[Does not use MAE]]=TRUE,Table1[[#This Row],[Does not introduce new model]]=TRUE,Table1[[#This Row],[Not in English]]=TRUE,Table1[[#This Row],[Not retrieved]]=TRUE),TRUE,FALSE)</f>
        <v>0</v>
      </c>
      <c r="M346" s="1"/>
      <c r="N346" s="1"/>
      <c r="O346" s="1"/>
      <c r="P346" s="1"/>
      <c r="Q346" s="1"/>
      <c r="R346" s="1"/>
      <c r="S346" s="1"/>
      <c r="T346" s="1"/>
      <c r="U346" s="1"/>
      <c r="V346" s="1"/>
      <c r="W346" s="1"/>
      <c r="X346" s="1"/>
      <c r="Y346" s="1"/>
      <c r="Z346" s="1"/>
      <c r="AA346" s="1"/>
      <c r="AB346" s="1"/>
      <c r="AC346" s="1"/>
      <c r="AD346" s="1"/>
      <c r="AE346" s="1"/>
      <c r="AF346" s="1" t="str">
        <f>IF(NOT(Table1[[#This Row],[Data modality]] = ""), NOT(OR(Table1[[#This Row],[Data preprocessing]] = "-", Table1[[#This Row],[Data partitioning]] = "-", Table1[[#This Row],[Partitions disjoint level]] = "-", Table1[[#This Row],[Model description]] ="-", Table1[[#This Row],[Training details]] = "-", Table1[[#This Row],[Final model selection]] = "-", Table1[[#This Row],[Discarded after full-text review]])),"")</f>
        <v/>
      </c>
      <c r="AG346" s="1"/>
    </row>
    <row r="347" spans="1:33" x14ac:dyDescent="0.35">
      <c r="A347" s="1" t="s">
        <v>735</v>
      </c>
      <c r="B347" s="8"/>
      <c r="E347" s="1">
        <f>COUNTIF(Table1[Irrelevant title/abstract], TRUE)</f>
        <v>237</v>
      </c>
      <c r="G347" s="1">
        <f>COUNTIF(Table1[Does not regard DAIC-WOZ], TRUE)</f>
        <v>34</v>
      </c>
      <c r="H347" s="1">
        <f>COUNTIF(Table1[Does not use MAE], TRUE)</f>
        <v>1</v>
      </c>
      <c r="I347" s="1">
        <f>COUNTIF(Table1[Does not introduce new model], TRUE)</f>
        <v>9</v>
      </c>
      <c r="J347" s="1">
        <f>COUNTIF(Table1[Not in English], TRUE)</f>
        <v>6</v>
      </c>
      <c r="K347" s="1">
        <f>COUNTIF(Table1[Not retrieved], TRUE)</f>
        <v>2</v>
      </c>
      <c r="N347" s="1">
        <f>COUNTIF(Table1[Data partitioning], "-")</f>
        <v>13</v>
      </c>
      <c r="O347" s="1">
        <f>COUNTIF(Table1[Partitions disjoint level], "-")</f>
        <v>17</v>
      </c>
      <c r="P347" s="1">
        <f>COUNTIF(Table1[Model description], "-")</f>
        <v>13</v>
      </c>
      <c r="Q347" s="1">
        <f>COUNTIF(Table1[Training details], "-")</f>
        <v>41</v>
      </c>
      <c r="R347" s="1">
        <f>COUNTIF(Table1[Final model selection], "-")</f>
        <v>31</v>
      </c>
      <c r="S347" s="1">
        <f>COUNTIF(Table1[-], "-")</f>
        <v>0</v>
      </c>
      <c r="T347" s="1">
        <f>COUNTIF(Table1[Data modality], "-")</f>
        <v>0</v>
      </c>
      <c r="U347" s="1">
        <f>COUNTIF(Table1[Dev. MAE], "-")</f>
        <v>24</v>
      </c>
      <c r="V347" s="1">
        <f>COUNTIF(Table1[Dev. RMSE], "-")</f>
        <v>28</v>
      </c>
      <c r="W347" s="1">
        <f>COUNTIF(Table1[Dev. R2], "-")</f>
        <v>53</v>
      </c>
      <c r="X347" s="1">
        <f>COUNTIF(Table1[Test. MAE], "-")</f>
        <v>36</v>
      </c>
      <c r="Y347" s="1">
        <f>COUNTIF(Table1[Test. RMSE], "-")</f>
        <v>38</v>
      </c>
      <c r="Z347" s="1">
        <f>COUNTIF(Table1[Test. R2], "-")</f>
        <v>55</v>
      </c>
      <c r="AA347" s="1">
        <f>COUNTIF(Table1[Code available], "-")</f>
        <v>0</v>
      </c>
      <c r="AB347" s="1">
        <f>COUNTIF(Table1[Repeated experiments], "-")</f>
        <v>0</v>
      </c>
      <c r="AC347" s="1">
        <f>COUNTIF(Table1[Uses interviewer''s prompts], "-")</f>
        <v>15</v>
      </c>
      <c r="AD347" s="1">
        <f>COUNTIF(Table1[Participant inter-partition leakage], "-")</f>
        <v>15</v>
      </c>
      <c r="AF347">
        <f>COUNTIF(AF2:AF339, TRUE)</f>
        <v>5</v>
      </c>
      <c r="AG347" s="1"/>
    </row>
    <row r="348" spans="1:33" x14ac:dyDescent="0.35">
      <c r="A348" s="1" t="s">
        <v>728</v>
      </c>
    </row>
    <row r="349" spans="1:33" x14ac:dyDescent="0.35">
      <c r="A349" s="1" t="s">
        <v>726</v>
      </c>
    </row>
    <row r="350" spans="1:33" x14ac:dyDescent="0.35">
      <c r="A350" s="1" t="s">
        <v>727</v>
      </c>
    </row>
    <row r="352" spans="1:33" x14ac:dyDescent="0.35">
      <c r="A352" s="14" t="s">
        <v>930</v>
      </c>
      <c r="B352" s="15" t="s">
        <v>931</v>
      </c>
    </row>
  </sheetData>
  <phoneticPr fontId="5" type="noConversion"/>
  <hyperlinks>
    <hyperlink ref="B2" r:id="rId1" xr:uid="{C101E65A-0B17-4FB1-B785-5282E9A7889F}"/>
    <hyperlink ref="B3" r:id="rId2" xr:uid="{D8FCAFBE-854D-4099-A2F5-7948ECF74722}"/>
    <hyperlink ref="B4" r:id="rId3" xr:uid="{39C6527A-0339-4CF8-9AFA-46DDF32F9964}"/>
    <hyperlink ref="B5" r:id="rId4" xr:uid="{FB6D1D66-E4DB-41D5-BF11-053D1679C2B2}"/>
    <hyperlink ref="B6" r:id="rId5" xr:uid="{5EE6EBDA-C147-4C55-B58E-3DC4157DEF15}"/>
    <hyperlink ref="B7" r:id="rId6" xr:uid="{474E3E85-AFFF-4365-B184-4E91E0570057}"/>
    <hyperlink ref="B8" r:id="rId7" xr:uid="{6FFCE325-ECA3-434F-9F0E-930459F84B08}"/>
    <hyperlink ref="B9" r:id="rId8" xr:uid="{4AD3F648-5D8C-44A3-89CB-16EE9E6EAF7E}"/>
    <hyperlink ref="B10" r:id="rId9" xr:uid="{A34830F0-45D5-44C9-8342-BA13CBE62878}"/>
    <hyperlink ref="B11" r:id="rId10" xr:uid="{83965E1B-4957-4787-A370-0021D10ABCB8}"/>
    <hyperlink ref="B12" r:id="rId11" xr:uid="{6C4B75D4-D6E9-4899-B953-D79E2844C43A}"/>
    <hyperlink ref="B13" r:id="rId12" xr:uid="{3C70C602-B67A-431A-80AA-2B7CB577C20F}"/>
    <hyperlink ref="B14" r:id="rId13" xr:uid="{D2675D77-F0D5-42FD-BA81-204C174F9784}"/>
    <hyperlink ref="B15" r:id="rId14" xr:uid="{81F058BA-2CD5-4695-A4C0-CE87848F8395}"/>
    <hyperlink ref="B16" r:id="rId15" xr:uid="{5A565F02-A385-4702-A7E2-8F8BADB997A0}"/>
    <hyperlink ref="B17" r:id="rId16" xr:uid="{B338A474-E4DF-41C0-B1D4-AF0065B84982}"/>
    <hyperlink ref="B18" r:id="rId17" xr:uid="{A6DF51B4-678F-4848-B547-CC64ED1382E9}"/>
    <hyperlink ref="B19" r:id="rId18" xr:uid="{5B5853D2-D00D-43D6-AB40-664B229E248E}"/>
    <hyperlink ref="B20" r:id="rId19" xr:uid="{6FBEF24D-9692-4DBF-BA70-F5F2DECDC960}"/>
    <hyperlink ref="B21" r:id="rId20" xr:uid="{A8D774C8-06E9-4B1D-B3B8-7E82B851EBF3}"/>
    <hyperlink ref="B22" r:id="rId21" xr:uid="{57634DFA-A04A-4A1F-9657-BDCD335EC41E}"/>
    <hyperlink ref="B23" r:id="rId22" xr:uid="{CA3A7595-3DA4-4DC8-AE4C-4F7A87467A2B}"/>
    <hyperlink ref="B24" r:id="rId23" xr:uid="{E529ABB0-1544-4785-BCD5-4F67E2F50B68}"/>
    <hyperlink ref="B25" r:id="rId24" xr:uid="{D2B683C3-7EC0-4C98-A0E9-2975F23188F1}"/>
    <hyperlink ref="B26" r:id="rId25" xr:uid="{D6972908-931A-41CC-B9A3-F30447F0F3D9}"/>
    <hyperlink ref="B27" r:id="rId26" xr:uid="{894FD671-6BF1-4049-A0E0-4A7E1A82D9B4}"/>
    <hyperlink ref="B28" r:id="rId27" xr:uid="{62F50F58-4D5B-4BF6-8A26-BD98A0848A34}"/>
    <hyperlink ref="B29" r:id="rId28" xr:uid="{E5F06325-AD19-4F46-93E0-82BA1301C08A}"/>
    <hyperlink ref="B30" r:id="rId29" xr:uid="{6AD8CDF9-4B91-4875-A28C-713189EB219D}"/>
    <hyperlink ref="B31" r:id="rId30" xr:uid="{36540CD9-F826-4AC3-A5A5-7361BF95221C}"/>
    <hyperlink ref="B32" r:id="rId31" xr:uid="{C4DC340E-6B2F-47AB-92A2-B8C16314854E}"/>
    <hyperlink ref="B33" r:id="rId32" xr:uid="{CD26BDAC-B3C4-45AE-82A5-5875CD9FF043}"/>
    <hyperlink ref="B34" r:id="rId33" xr:uid="{41C05762-B428-4B58-B9E0-79D12AD353B4}"/>
    <hyperlink ref="B35" r:id="rId34" xr:uid="{0AC15C88-1295-427E-8885-FD6960D64563}"/>
    <hyperlink ref="B36" r:id="rId35" xr:uid="{B6308BAE-29BC-4890-966D-B7C9A61AACCF}"/>
    <hyperlink ref="B37" r:id="rId36" xr:uid="{E2797B2D-AAB3-49F3-A4E4-10A4420DFA9C}"/>
    <hyperlink ref="B38" r:id="rId37" xr:uid="{CB7D4E86-571E-4178-A886-E9E1B8913B1E}"/>
    <hyperlink ref="B39" r:id="rId38" xr:uid="{A23DEC62-ACFE-490C-A2E6-67992607F8CC}"/>
    <hyperlink ref="B40" r:id="rId39" xr:uid="{76657E01-5DA9-4847-BDA2-8C709A6532E0}"/>
    <hyperlink ref="B41" r:id="rId40" xr:uid="{539741C4-FFDC-4F41-B9F6-A42B40997108}"/>
    <hyperlink ref="B42" r:id="rId41" xr:uid="{D65C3A4D-024B-4583-A637-1F89DFC7D0C3}"/>
    <hyperlink ref="B43" r:id="rId42" xr:uid="{F63D2955-CF8C-47E3-A6C2-DE5D6EF6BD71}"/>
    <hyperlink ref="B44" r:id="rId43" xr:uid="{6C224DB7-F87E-4B70-B076-AF55DBF2E75F}"/>
    <hyperlink ref="B45" r:id="rId44" xr:uid="{782D2991-4E3B-491E-BFA5-BF7810A3112E}"/>
    <hyperlink ref="B46" r:id="rId45" xr:uid="{578FCE62-292C-4C90-A1A6-0C610B160091}"/>
    <hyperlink ref="B47" r:id="rId46" xr:uid="{33EF206D-A219-44D2-BE51-75092D028F9B}"/>
    <hyperlink ref="B48" r:id="rId47" xr:uid="{BF8F4B6F-1E9E-480D-B73B-6D67A27CA86A}"/>
    <hyperlink ref="B49" r:id="rId48" xr:uid="{C52DB96A-1534-48FD-B40C-E55DA8BB285E}"/>
    <hyperlink ref="B50" r:id="rId49" xr:uid="{4A43E9BD-48E2-4C89-814D-5B68F45BD1CF}"/>
    <hyperlink ref="B51" r:id="rId50" xr:uid="{5206E946-1330-4610-8670-1171842B1303}"/>
    <hyperlink ref="B52" r:id="rId51" xr:uid="{C3184BD0-3502-4270-B937-4DBD5CD3E783}"/>
    <hyperlink ref="B53" r:id="rId52" xr:uid="{A46E7B91-0E7B-4AB6-885F-DA740E04AC39}"/>
    <hyperlink ref="B54" r:id="rId53" xr:uid="{F86E5D1F-9B1D-4604-8AD3-670B88BC75CB}"/>
    <hyperlink ref="B55" r:id="rId54" xr:uid="{24FEA049-39CD-42F3-BF0F-DEE4DFB365DA}"/>
    <hyperlink ref="B56" r:id="rId55" xr:uid="{56552D01-47B1-49A9-AF7A-00414AB6E1CB}"/>
    <hyperlink ref="B57" r:id="rId56" xr:uid="{A1762D72-FADA-478A-A487-BCB85464555F}"/>
    <hyperlink ref="B58" r:id="rId57" xr:uid="{BA203088-498B-4D4F-915D-A2A8DA25F1C3}"/>
    <hyperlink ref="B59" r:id="rId58" xr:uid="{63EE1229-8894-4439-B136-D41FBC1090CB}"/>
    <hyperlink ref="B60" r:id="rId59" xr:uid="{18B601E8-B505-4132-878A-0D6E2FB8C4B2}"/>
    <hyperlink ref="B63" r:id="rId60" xr:uid="{F8BE907B-B33C-4869-B52A-252E6FB66508}"/>
    <hyperlink ref="B65" r:id="rId61" xr:uid="{D1A95B5F-AF8B-4B75-AA4D-8AC3457E9E56}"/>
    <hyperlink ref="B66" r:id="rId62" xr:uid="{2F2FD02A-EE6C-4278-8980-E42A6C895848}"/>
    <hyperlink ref="B67" r:id="rId63" xr:uid="{D96B1394-50DF-4F5B-91CA-FF49983F74F9}"/>
    <hyperlink ref="B68" r:id="rId64" xr:uid="{612DDA5E-0845-40B6-8ADC-DD5BADB348A9}"/>
    <hyperlink ref="B72" r:id="rId65" xr:uid="{A9866DB2-F224-477C-B0A6-850B81AFD9A1}"/>
    <hyperlink ref="B73" r:id="rId66" xr:uid="{26F82A89-F94C-4B74-89AF-100C0DC152E8}"/>
    <hyperlink ref="B74" r:id="rId67" xr:uid="{A20E253A-6CD0-43B0-999E-C3DD95690D56}"/>
    <hyperlink ref="B79" r:id="rId68" xr:uid="{09365E30-37BB-484D-B80F-97A0548BC67F}"/>
    <hyperlink ref="B81" r:id="rId69" xr:uid="{B36111D8-4922-4D41-8636-9050D06037CD}"/>
    <hyperlink ref="B85" r:id="rId70" xr:uid="{E22FEC6F-27C4-4C7F-B79E-2E034800D46A}"/>
    <hyperlink ref="B92" r:id="rId71" xr:uid="{240110F0-B276-4F34-8C0A-E083EC608991}"/>
    <hyperlink ref="B94" r:id="rId72" xr:uid="{2FC5A78D-F58B-49C0-BF6A-450A88F8E1F8}"/>
    <hyperlink ref="B98" r:id="rId73" xr:uid="{1765594F-74C8-486D-B900-028B756B2853}"/>
    <hyperlink ref="B111" r:id="rId74" xr:uid="{9E3FBB1A-19A1-4B29-954E-46666A90B2D7}"/>
    <hyperlink ref="B112" r:id="rId75" xr:uid="{84659540-65AD-4462-97A9-64E483EC842D}"/>
    <hyperlink ref="B116" r:id="rId76" xr:uid="{3B467D4A-33DA-48CC-8101-4E768B5578D0}"/>
    <hyperlink ref="B117" r:id="rId77" xr:uid="{46D025BB-3699-45C0-A207-B59D0CF477BC}"/>
    <hyperlink ref="B120" r:id="rId78" xr:uid="{8C537D0C-2D3C-44C7-824F-32FC7457B69E}"/>
    <hyperlink ref="B121" r:id="rId79" xr:uid="{D602C2F4-271F-4D16-A85E-69D8B23BA61B}"/>
    <hyperlink ref="B122" r:id="rId80" xr:uid="{1F1681D1-2F16-44C6-8DE2-036DC1459B9D}"/>
    <hyperlink ref="B123" r:id="rId81" xr:uid="{28E40D46-108D-422B-A833-09D2A023869C}"/>
    <hyperlink ref="B124" r:id="rId82" xr:uid="{39854C8B-827C-4BF6-9A12-F3DA00234B9F}"/>
    <hyperlink ref="B125" r:id="rId83" xr:uid="{818CCB44-59E2-4CCA-B946-8E457355045E}"/>
    <hyperlink ref="B126" r:id="rId84" xr:uid="{4FF1BF29-31C8-4D22-9E2D-52CBE13A1EC5}"/>
    <hyperlink ref="B127" r:id="rId85" xr:uid="{B522CBAF-A11B-437F-99A3-8CFEB73119D9}"/>
    <hyperlink ref="B128" r:id="rId86" xr:uid="{8DAA1778-737B-47D2-B21C-2A9EB61F77C5}"/>
    <hyperlink ref="B129" r:id="rId87" xr:uid="{D52DB829-C41E-4A30-840B-F9D15AFEE53D}"/>
    <hyperlink ref="B130" r:id="rId88" xr:uid="{5C3E3CA4-4288-4C81-8FA9-2E6DE84CD2EC}"/>
    <hyperlink ref="B131" r:id="rId89" xr:uid="{57A55DCA-185E-484D-9146-5BEE8BE29F36}"/>
    <hyperlink ref="B132" r:id="rId90" xr:uid="{16CF41D8-6ED9-4478-B568-50A4E308DF4E}"/>
    <hyperlink ref="B133" r:id="rId91" xr:uid="{135AF283-0E83-43A7-A56C-32A8A83F0AE4}"/>
    <hyperlink ref="B134" r:id="rId92" xr:uid="{4CDD6139-85DD-4692-B713-46D80E09B6B6}"/>
    <hyperlink ref="B135" r:id="rId93" xr:uid="{C0121835-64CA-4DDC-91CD-9D20AC7412CC}"/>
    <hyperlink ref="B136" r:id="rId94" xr:uid="{7F676E3E-96DA-4F09-98AF-0F5B38A93763}"/>
    <hyperlink ref="B137" r:id="rId95" xr:uid="{B9EB195B-D10E-45E7-B7D1-ADF76F8CB626}"/>
    <hyperlink ref="B138" r:id="rId96" xr:uid="{73D765E3-2EE0-4024-B9DD-8E6E7CB7219A}"/>
    <hyperlink ref="B139" r:id="rId97" xr:uid="{EE0F2C30-79D4-468F-990A-639E7326676B}"/>
    <hyperlink ref="B140" r:id="rId98" xr:uid="{3DD839D7-C11C-4419-B1B6-370438A00B8D}"/>
    <hyperlink ref="B141" r:id="rId99" xr:uid="{73BB797F-E535-4BC3-BE90-3BCFE6EE5299}"/>
    <hyperlink ref="B142" r:id="rId100" xr:uid="{1ADF86DA-D817-4271-BC46-38D26D9DD42B}"/>
    <hyperlink ref="B143" r:id="rId101" xr:uid="{30CAF352-50C0-44C0-95D1-0C5EC01268F5}"/>
    <hyperlink ref="B144" r:id="rId102" xr:uid="{E63F8610-D185-46FD-AFC7-2AA9858154D1}"/>
    <hyperlink ref="B145" r:id="rId103" xr:uid="{7C582F44-B838-4884-B6AD-1AE9894D2686}"/>
    <hyperlink ref="B146" r:id="rId104" xr:uid="{9795F005-7BF0-443D-9B52-F67885305371}"/>
    <hyperlink ref="B147" r:id="rId105" xr:uid="{D68363EF-E283-43DA-B0C6-DA00727793B2}"/>
    <hyperlink ref="B148" r:id="rId106" xr:uid="{069DCA1A-EF03-436A-86AD-C4A03983F50F}"/>
    <hyperlink ref="B149" r:id="rId107" xr:uid="{31BEFED0-9592-4A18-B1B8-AAEF29CE7990}"/>
    <hyperlink ref="B150" r:id="rId108" xr:uid="{D5474B2A-3C8A-4146-B6D3-225E5FABBA9D}"/>
    <hyperlink ref="B151" r:id="rId109" xr:uid="{BAB17CE9-798F-4000-8FFD-58A79068845F}"/>
    <hyperlink ref="B152" r:id="rId110" xr:uid="{50354B7C-E77D-4BB0-AB6B-989BA755EECD}"/>
    <hyperlink ref="B153" r:id="rId111" xr:uid="{807E1B9D-819B-47C8-A697-9A2B61272693}"/>
    <hyperlink ref="B155" r:id="rId112" xr:uid="{6BE8A403-93FB-4E4F-B894-4DE668CBBE57}"/>
    <hyperlink ref="B156" r:id="rId113" xr:uid="{A33AFEE4-0656-4A73-8C4D-F49E1DB179B3}"/>
    <hyperlink ref="B157" r:id="rId114" xr:uid="{95579B94-59D6-4122-B099-512D1CE97C56}"/>
    <hyperlink ref="B158" r:id="rId115" xr:uid="{31B3C722-87A6-4517-B840-C1367BBC0463}"/>
    <hyperlink ref="B159" r:id="rId116" xr:uid="{111DD702-1A52-4D67-B7CC-EA5A269BBFFA}"/>
    <hyperlink ref="B154" r:id="rId117" xr:uid="{7B5FBD28-6CB1-4CD8-A137-3F44107E77B2}"/>
    <hyperlink ref="B160" r:id="rId118" xr:uid="{473B1BE6-9194-4DFF-A30B-51D177DEDBCA}"/>
    <hyperlink ref="B161" r:id="rId119" xr:uid="{45431992-6B7A-4B58-998B-D0D566250EFC}"/>
    <hyperlink ref="B162" r:id="rId120" xr:uid="{E66764D6-3242-47F4-B807-38B5F62F9293}"/>
    <hyperlink ref="B163" r:id="rId121" xr:uid="{940C24A6-DCCA-4CCB-AE00-B87138AAB988}"/>
    <hyperlink ref="B164" r:id="rId122" xr:uid="{999B10D4-8F80-4D23-8B10-026003C20C46}"/>
    <hyperlink ref="B165" r:id="rId123" xr:uid="{ACA8F78B-17AE-4C29-A012-91C887802677}"/>
    <hyperlink ref="B166" r:id="rId124" xr:uid="{749170DE-F750-42A1-A03C-A49DBBB45047}"/>
    <hyperlink ref="B167" r:id="rId125" display="https://www.researchgate.net/profile/Nejc-Plohl/publication/365097413_Scoping_Review_on_the_Multimodal_Classification_of_Depression_and_Experimental_Study_on_Existing_Multimodal_Models/links/6364c3f354eb5f547ca0712b/Scoping-Review-on-the-Multimodal-Classification-of-Depression-and-Experimental-Study-on-Existing-Multimodal-Models.pdf" xr:uid="{B5C26F75-A3BE-436A-8707-9258AABFD242}"/>
    <hyperlink ref="B168" r:id="rId126" xr:uid="{12CD2E14-8F00-4E78-88F9-B8BA62E3952A}"/>
    <hyperlink ref="B169" r:id="rId127" xr:uid="{D7A3FFA0-C3B7-47D6-AFF6-7B5FADC8169F}"/>
    <hyperlink ref="B170" r:id="rId128" xr:uid="{F423BD78-F676-4FD8-AC5C-4F36987DA58C}"/>
    <hyperlink ref="B171" r:id="rId129" xr:uid="{C0A857D6-55A4-45E0-8E1A-402E17109F04}"/>
    <hyperlink ref="B172" r:id="rId130" xr:uid="{20A8D192-90A4-4C59-9CA1-34E825A913D6}"/>
    <hyperlink ref="B173" r:id="rId131" xr:uid="{5CF2B815-89B6-4690-945A-47F74438340F}"/>
    <hyperlink ref="B174" r:id="rId132" xr:uid="{C76EC0E3-DB43-4EC3-9022-6B0600797371}"/>
    <hyperlink ref="B175" r:id="rId133" xr:uid="{2C8C066D-9AAE-43C9-822D-212C8F570824}"/>
    <hyperlink ref="B176" r:id="rId134" xr:uid="{C95A7EB9-B92F-4811-8836-C2672B2E4433}"/>
    <hyperlink ref="B177" r:id="rId135" xr:uid="{360D32B7-62E9-4B10-83BD-E5D1CBFBE758}"/>
    <hyperlink ref="B178" r:id="rId136" xr:uid="{82181AC2-9057-4F19-8732-56C4E22855D1}"/>
    <hyperlink ref="B179" r:id="rId137" xr:uid="{EDCA084B-EDC9-4E0A-BE7C-4DB6F22B8D3F}"/>
    <hyperlink ref="B180" r:id="rId138" xr:uid="{62C78235-1704-4386-8AF2-7633D086B950}"/>
    <hyperlink ref="B181" r:id="rId139" xr:uid="{07C8D87A-991A-4C39-AA8E-3CF8CC48EA15}"/>
    <hyperlink ref="B182" r:id="rId140" xr:uid="{6FB7BAB0-E618-44AA-8A50-35E616EE4AD0}"/>
    <hyperlink ref="B183" r:id="rId141" xr:uid="{3964DDDD-A7F7-4861-A65C-B193F8C3B16B}"/>
    <hyperlink ref="B184" r:id="rId142" xr:uid="{2CA07153-4D92-4DCF-8DB1-23733F2372FA}"/>
    <hyperlink ref="B185" r:id="rId143" xr:uid="{9E887303-0A43-4C1A-8418-9ABDB320AC3E}"/>
    <hyperlink ref="B186" r:id="rId144" xr:uid="{1C576788-AD20-44D6-9352-A311AFF0A6CA}"/>
    <hyperlink ref="B187" r:id="rId145" xr:uid="{E3BE8331-6873-48F9-8058-8638F26A6259}"/>
    <hyperlink ref="B188" r:id="rId146" display="https://www.researchgate.net/profile/Bens-Pardamean/publication/389068508_Depression_detection_through_transformers-based_emotion_recognition_in_multivariate_time_series_facial_data/links/67b3e4e58311ce680c671eec/Depression-detection-through-transformers-based-emotion-recognition-in-multivariate-time-series-facial-data.pdf" xr:uid="{C20009B9-A451-420C-906D-953BE74B0357}"/>
    <hyperlink ref="B189" r:id="rId147" xr:uid="{C34B774F-3DBE-48C3-B11E-E1BF98E3BCF6}"/>
    <hyperlink ref="B190" r:id="rId148" xr:uid="{F623D96F-8E85-49F8-A555-D7A00E434807}"/>
    <hyperlink ref="B191" r:id="rId149" xr:uid="{7B512791-9981-4181-9705-9AC26858BB1C}"/>
    <hyperlink ref="B192" r:id="rId150" xr:uid="{8BCE92A4-3EF1-4958-A17F-811BA42335E4}"/>
    <hyperlink ref="B193" r:id="rId151" xr:uid="{66C82A98-0794-4566-8C96-8B81590FDCFE}"/>
    <hyperlink ref="B194" r:id="rId152" xr:uid="{C6CFCBF6-3394-43DC-9604-D02701F75E76}"/>
    <hyperlink ref="B195" r:id="rId153" xr:uid="{3343ACF9-FA01-4FE7-9D55-CDFD7155E12D}"/>
    <hyperlink ref="B196" r:id="rId154" xr:uid="{2B0F99CC-38AD-4B81-A4B4-CA5A85F61D84}"/>
    <hyperlink ref="B197" r:id="rId155" xr:uid="{3221D861-0072-4809-82D3-995F9826F50A}"/>
    <hyperlink ref="B198" r:id="rId156" xr:uid="{17FEA87C-B65D-4AA6-B3B9-A77F0D82A240}"/>
    <hyperlink ref="B199" r:id="rId157" xr:uid="{9D2FBC4A-0445-4975-A261-5C84CEB02F60}"/>
    <hyperlink ref="B200" r:id="rId158" xr:uid="{547D92E2-CD87-4275-8858-1981C68B40AB}"/>
    <hyperlink ref="B201" r:id="rId159" xr:uid="{A17BBFCD-723D-4AC8-999F-FE36EF20A035}"/>
    <hyperlink ref="B202" r:id="rId160" xr:uid="{F43857AF-7BE4-4D30-B73A-5DC78F0CBD3C}"/>
    <hyperlink ref="B203" r:id="rId161" xr:uid="{D5E223DD-51A6-45BB-AC90-FEDC90E3791F}"/>
    <hyperlink ref="B204" r:id="rId162" xr:uid="{18CBB798-C0DB-43A1-A228-1C7D73309CB1}"/>
    <hyperlink ref="B205" r:id="rId163" xr:uid="{725D95C7-C04D-4A32-9277-D917B946761C}"/>
    <hyperlink ref="B206" r:id="rId164" xr:uid="{65CCE2AF-78B4-4099-9528-0C85E71C9E11}"/>
    <hyperlink ref="B207" r:id="rId165" xr:uid="{0F78A016-ABA3-4086-8BAD-C4616C079A4F}"/>
    <hyperlink ref="B208" r:id="rId166" xr:uid="{72299EF1-56BD-49BD-B01F-3EDE563FDD23}"/>
    <hyperlink ref="B209" r:id="rId167" xr:uid="{9CDC2933-6021-42AE-9438-23664429826F}"/>
    <hyperlink ref="B210" r:id="rId168" xr:uid="{C856F8E3-BE6A-4B1C-80D5-55FBCD1633C7}"/>
    <hyperlink ref="B211" r:id="rId169" xr:uid="{BE6A2EC2-D14D-4546-A253-4B2D83CBC0A8}"/>
    <hyperlink ref="B212" r:id="rId170" xr:uid="{1B9DF3F5-B7A1-46AF-A655-67F4A27CE73D}"/>
    <hyperlink ref="B213" r:id="rId171" xr:uid="{234B19F2-CB47-4981-9C7A-1E76128E429E}"/>
    <hyperlink ref="B214" r:id="rId172" xr:uid="{7C718CF1-2368-4A9E-9645-9E4A9E1B4006}"/>
    <hyperlink ref="B215" r:id="rId173" xr:uid="{46146920-0699-42F8-99B3-B3AAB50A9146}"/>
    <hyperlink ref="B216" r:id="rId174" xr:uid="{40BC5BED-850F-4C26-94C4-ECADAC99CF23}"/>
    <hyperlink ref="B217" r:id="rId175" xr:uid="{B1068A8E-0137-4B26-A4CC-C32D4FBC97C7}"/>
    <hyperlink ref="B218" r:id="rId176" xr:uid="{89CDF0DA-2970-4FBF-9C47-60B67FE6C125}"/>
    <hyperlink ref="B219" r:id="rId177" xr:uid="{90628F22-ED16-4451-B29F-7B15D18CFC73}"/>
    <hyperlink ref="B220" r:id="rId178" xr:uid="{D1F41920-6C66-47D0-888B-B75B47B04F67}"/>
    <hyperlink ref="B221" r:id="rId179" xr:uid="{E70B4B52-AFE6-400A-805A-27F42239C42C}"/>
    <hyperlink ref="B222" r:id="rId180" xr:uid="{CF085065-6547-4A72-BC02-ADBB3FA5330C}"/>
    <hyperlink ref="B223" r:id="rId181" xr:uid="{8C452820-5681-44A0-83F2-325C23BF2B2B}"/>
    <hyperlink ref="B224" r:id="rId182" xr:uid="{D77E4C5C-D4BE-4287-9B9F-1A6C48B3F78F}"/>
    <hyperlink ref="B225" r:id="rId183" xr:uid="{53AF9A3A-7CF7-4628-B768-9DDEEECBACD3}"/>
    <hyperlink ref="B226" r:id="rId184" xr:uid="{B416AE1D-C90A-457E-82AE-E90C841B8E42}"/>
    <hyperlink ref="B227" r:id="rId185" xr:uid="{34289895-CD74-4755-9EC3-7073FA7AF76E}"/>
    <hyperlink ref="B228" r:id="rId186" xr:uid="{AB0D9C80-89BD-4592-A2BB-CC2FF0444779}"/>
    <hyperlink ref="B229" r:id="rId187" xr:uid="{2EAA5692-EEA7-4FD7-B4D4-ED7B3ACBFF45}"/>
    <hyperlink ref="B230" r:id="rId188" xr:uid="{3546F0FD-6D84-4FC7-A0F9-CA6BC83278F9}"/>
    <hyperlink ref="B231" r:id="rId189" xr:uid="{C9E53162-D3BD-4364-A53E-A4CB423A581A}"/>
    <hyperlink ref="B232" r:id="rId190" xr:uid="{C52A89DF-F46C-4111-B4D6-C32FBA173C63}"/>
    <hyperlink ref="B233" r:id="rId191" xr:uid="{204A9827-9879-4CD4-8217-888276D61693}"/>
    <hyperlink ref="B234" r:id="rId192" xr:uid="{98FB5A2C-6F54-41BF-9F8D-F7915A66D781}"/>
    <hyperlink ref="B235" r:id="rId193" xr:uid="{9AEEB4A3-0845-44D2-A44C-5DE241A632F9}"/>
    <hyperlink ref="B236" r:id="rId194" xr:uid="{BDA79F03-DA75-4BCA-8041-A90E765CEBC8}"/>
    <hyperlink ref="B237" r:id="rId195" xr:uid="{1C296167-8EC2-4341-9F5B-537A898FE366}"/>
    <hyperlink ref="B238" r:id="rId196" xr:uid="{F9184D48-7626-435D-A6DF-8E6D2C9613CE}"/>
    <hyperlink ref="B239" r:id="rId197" xr:uid="{8BD20FBC-2ADE-4E5C-86E2-F7BBFD736D4E}"/>
    <hyperlink ref="B240" r:id="rId198" xr:uid="{49635067-6E5A-4075-9268-5D39322EA0A0}"/>
    <hyperlink ref="B241" r:id="rId199" xr:uid="{4564CD4E-B834-4B78-8359-3BA63CF6012E}"/>
    <hyperlink ref="B242" r:id="rId200" xr:uid="{E2AD1941-3DCA-4197-AEEE-1DFADA3B639E}"/>
    <hyperlink ref="B243" r:id="rId201" xr:uid="{C8830CD6-0E7B-46BC-AC69-7937A8C4E0EA}"/>
    <hyperlink ref="B244" r:id="rId202" xr:uid="{2D2F4226-8D0E-4AED-93B3-49492712A787}"/>
    <hyperlink ref="B245" r:id="rId203" xr:uid="{0D9000F5-418D-4C96-A755-6406B2CE2B4B}"/>
    <hyperlink ref="B246" r:id="rId204" xr:uid="{90B34491-2851-45C2-BC3C-CC69D2117D48}"/>
    <hyperlink ref="B247" r:id="rId205" xr:uid="{E30CC4A3-A115-49DC-80D2-A967AE0A613D}"/>
    <hyperlink ref="B248" r:id="rId206" xr:uid="{8AA39BA4-317E-4822-8103-C2A809C7E49C}"/>
    <hyperlink ref="B249" r:id="rId207" xr:uid="{B252E0DB-1F8A-40E9-BF80-64D302FDF3F1}"/>
    <hyperlink ref="B250" r:id="rId208" xr:uid="{B4531BCF-BC19-469D-A0F4-12D7AD215555}"/>
    <hyperlink ref="B251" r:id="rId209" xr:uid="{E0190CED-01A3-48B0-9D7A-3C7235ABD602}"/>
    <hyperlink ref="B252" r:id="rId210" xr:uid="{EDCEEFC8-7055-4029-994D-7387209E3FEE}"/>
    <hyperlink ref="B253" r:id="rId211" xr:uid="{838624DF-213B-4F0A-BAAC-0F5922A35152}"/>
    <hyperlink ref="B254" r:id="rId212" xr:uid="{226E314D-419D-4AE0-9E4F-3140B7950788}"/>
    <hyperlink ref="B255" r:id="rId213" xr:uid="{02E53175-E698-4939-9DF5-29F6E0D25D58}"/>
    <hyperlink ref="B256" r:id="rId214" xr:uid="{55D1C3FD-C233-486A-8832-6EF6A7FB56DF}"/>
    <hyperlink ref="B257" r:id="rId215" xr:uid="{83A1543F-566E-4710-B3DC-C0006B15A597}"/>
    <hyperlink ref="B258" r:id="rId216" xr:uid="{E029F36D-C6D8-4F8D-A450-4590CC3404DE}"/>
    <hyperlink ref="B259" r:id="rId217" xr:uid="{419C2D86-00FD-487C-8B4B-DF959CE9F8B9}"/>
    <hyperlink ref="B260" r:id="rId218" xr:uid="{B47B8BFC-3283-4C12-937A-2A75669AE1CC}"/>
    <hyperlink ref="B261" r:id="rId219" location="page=56" xr:uid="{C1BAFA30-B918-4779-ABA7-A12749802388}"/>
    <hyperlink ref="B262" r:id="rId220" xr:uid="{6F5439BB-5166-4C20-9930-2EDD11EB40FA}"/>
    <hyperlink ref="B263" r:id="rId221" xr:uid="{C59B7688-F0CB-42C8-8D8A-0F9F424408E8}"/>
    <hyperlink ref="B264" r:id="rId222" xr:uid="{A51BAFA4-52CA-4D4E-A114-1F9B5AD22237}"/>
    <hyperlink ref="B265" r:id="rId223" xr:uid="{11E57B5B-A874-45CC-B2C4-8A7E5C5E579C}"/>
    <hyperlink ref="B266" r:id="rId224" xr:uid="{BD1B3CA5-D5EB-43EC-9C04-C4454DEADC50}"/>
    <hyperlink ref="B267" r:id="rId225" xr:uid="{1E6FE60D-1A52-49CC-8D0B-5E1ED7391C0A}"/>
    <hyperlink ref="B268" r:id="rId226" xr:uid="{5E85FE52-1A63-4F9C-B743-686DEADEA810}"/>
    <hyperlink ref="B269" r:id="rId227" xr:uid="{50946169-E632-42A5-BA9E-0CBEED1577F3}"/>
    <hyperlink ref="B270" r:id="rId228" xr:uid="{A3B3705C-D8D4-4916-8B25-8BD86490757E}"/>
    <hyperlink ref="B271" r:id="rId229" xr:uid="{5A90D861-C845-4414-A176-4E50E6A21174}"/>
    <hyperlink ref="B272" r:id="rId230" xr:uid="{53966274-544D-4B2D-BB18-9907ED0659A7}"/>
    <hyperlink ref="B273" r:id="rId231" xr:uid="{11C11B41-B8C2-479B-83FC-FB16A54E00EB}"/>
    <hyperlink ref="B274" r:id="rId232" xr:uid="{B69CF320-CD82-45C9-B71C-6D5E97D2B4BB}"/>
    <hyperlink ref="B275" r:id="rId233" xr:uid="{3CFF4FFC-0606-48C7-A64A-7CAAA33F90C8}"/>
    <hyperlink ref="B276" r:id="rId234" location="page=113" xr:uid="{6B2DB19A-E629-42F8-A993-C1964755F19D}"/>
    <hyperlink ref="B277" r:id="rId235" xr:uid="{1CB4A4D4-12C2-4794-AB59-19A883FCB41A}"/>
    <hyperlink ref="B278" r:id="rId236" xr:uid="{2E2B440A-F9DD-4432-BF23-ECBE8FE63C3B}"/>
    <hyperlink ref="B279" r:id="rId237" xr:uid="{68A8D930-ED63-4139-9A71-C6DE08B80CD3}"/>
    <hyperlink ref="B280" r:id="rId238" xr:uid="{32B65B45-967E-47C0-8AF8-C19FA2F9A9B3}"/>
    <hyperlink ref="B281" r:id="rId239" xr:uid="{9D321084-3D36-47B9-853E-0BA4588959D3}"/>
    <hyperlink ref="B282" r:id="rId240" xr:uid="{BB5283EF-94E1-4C82-A487-D964869C805B}"/>
    <hyperlink ref="B283" r:id="rId241" xr:uid="{6D4C4EAD-A9B3-45DA-A8F3-ECE07E8019D5}"/>
    <hyperlink ref="B284" r:id="rId242" xr:uid="{4C0705B7-E0D1-4A7B-B11C-7ABA141463B6}"/>
    <hyperlink ref="B285" r:id="rId243" xr:uid="{5DCB606C-B3F0-4666-A151-894E8ECD4C6D}"/>
    <hyperlink ref="B286" r:id="rId244" xr:uid="{25107541-6AB7-4908-9A9E-44CA0F86FFB8}"/>
    <hyperlink ref="B287" r:id="rId245" xr:uid="{155D08F2-8EC4-4D64-AF40-54DCC18FA272}"/>
    <hyperlink ref="B288" r:id="rId246" xr:uid="{229AC10F-5D6A-4369-A458-EE716FD00DEF}"/>
    <hyperlink ref="B289" r:id="rId247" xr:uid="{4BB16C71-8842-4128-9BA4-02D63219465E}"/>
    <hyperlink ref="B290" r:id="rId248" xr:uid="{AF7B3A38-7E5C-4305-8FE9-4D875D51A850}"/>
    <hyperlink ref="B291" r:id="rId249" xr:uid="{8BA98764-1860-49E3-9537-3891071F5D6D}"/>
    <hyperlink ref="B292" r:id="rId250" xr:uid="{F37CC2ED-5C9E-4D4C-BD65-284E9CE66B17}"/>
    <hyperlink ref="B293" r:id="rId251" xr:uid="{4894F4AF-92BE-4061-BFBF-EE77FF3DC0D0}"/>
    <hyperlink ref="B294" r:id="rId252" xr:uid="{5A5F8CB9-A0DF-43DD-842C-74BF5BC83205}"/>
    <hyperlink ref="B295" r:id="rId253" xr:uid="{66586B1E-1D74-4C49-B9B8-39F4265D0326}"/>
    <hyperlink ref="B296" r:id="rId254" xr:uid="{F82F2C85-A3CE-4801-B180-F607DF10AF7E}"/>
    <hyperlink ref="B297" r:id="rId255" xr:uid="{F0168DC8-49F1-420E-ACB9-611430576E66}"/>
    <hyperlink ref="B298" r:id="rId256" xr:uid="{BBB9A4CB-BF1E-485D-8219-873A33360360}"/>
    <hyperlink ref="B299" r:id="rId257" xr:uid="{108F3005-6D0F-4842-9FCC-498829CB1D67}"/>
    <hyperlink ref="B300" r:id="rId258" xr:uid="{D6A5EF05-C50B-441D-882C-949198820490}"/>
    <hyperlink ref="B301" r:id="rId259" xr:uid="{B6A0EAF4-B1DC-42C0-9518-027C7E5EE373}"/>
    <hyperlink ref="B302" r:id="rId260" xr:uid="{E3D6FED8-B40D-4C09-996C-9B63176E6796}"/>
    <hyperlink ref="B303" r:id="rId261" xr:uid="{3C4EACBA-ECFD-4664-A1F3-48840B5DB60E}"/>
    <hyperlink ref="B304" r:id="rId262" xr:uid="{654AC509-DF2E-49B9-B068-BBD5453B7922}"/>
    <hyperlink ref="B305" r:id="rId263" xr:uid="{20CEC626-AD83-48A9-A18B-1F6D7CA3CF10}"/>
    <hyperlink ref="B306" r:id="rId264" xr:uid="{BE45D101-CED2-4F53-8F78-7E80A3447A12}"/>
    <hyperlink ref="B307" r:id="rId265" xr:uid="{C293D726-346F-4977-8113-E1C6DDC2FA04}"/>
    <hyperlink ref="B308" r:id="rId266" xr:uid="{248742ED-41A4-4C81-9293-0EC53A143D90}"/>
    <hyperlink ref="B309" r:id="rId267" xr:uid="{C498D8B9-6397-4EB5-A95C-891B32F4A59C}"/>
    <hyperlink ref="B310" r:id="rId268" xr:uid="{42394D05-38E8-45DE-9718-AEA40EE04353}"/>
    <hyperlink ref="B311" r:id="rId269" xr:uid="{D3C34BB0-C3B8-4E78-828E-B2ED93BD7A37}"/>
    <hyperlink ref="B312" r:id="rId270" xr:uid="{E8F4A1A3-B2EC-4DB3-B4F4-3D5773F7E05C}"/>
    <hyperlink ref="B313" r:id="rId271" display="https://www.researchgate.net/profile/M-Dolores-Gonzalez-2/publication/382778910_A_survey_on_detecting_mental_disorders_with_natural_language_processing_Literature_review_trends_and_challenges/links/670f9a1d24a01038d0f03c4d/A-survey-on-detecting-mental-disorders-with-natural-language-processing-Literature-review-trends-and-challenges.pdf" xr:uid="{EB7F6DAB-E406-4C0D-8CD6-F5728575ED3C}"/>
    <hyperlink ref="B314" r:id="rId272" xr:uid="{9C920937-E634-4DB0-9243-9D361FC05E83}"/>
    <hyperlink ref="B315" r:id="rId273" xr:uid="{BEF27C1B-F1C2-4405-A01B-1A37D023CD5E}"/>
    <hyperlink ref="B316" r:id="rId274" xr:uid="{38C71D7D-BAC0-4822-8BDB-3A09F2E4F303}"/>
    <hyperlink ref="B317" r:id="rId275" xr:uid="{3109E1FD-5B02-4C80-A7A8-907970F78DAA}"/>
    <hyperlink ref="B318" r:id="rId276" xr:uid="{EAD54609-A0B3-412E-BC49-681C5F2E4D3C}"/>
    <hyperlink ref="B319" r:id="rId277" xr:uid="{B6F4EF0C-AB46-4FFC-9DAC-D3E5C1097EB0}"/>
    <hyperlink ref="B320" r:id="rId278" xr:uid="{729FBBE4-B590-44C8-9251-45E44CC14BD1}"/>
    <hyperlink ref="B321" r:id="rId279" xr:uid="{4C978038-7B76-42EB-B832-4318DC473DD4}"/>
    <hyperlink ref="B322" r:id="rId280" xr:uid="{7DE95312-A0FD-427C-8807-358BC262029A}"/>
    <hyperlink ref="B323" r:id="rId281" xr:uid="{3582F862-7A64-4CB2-8EE2-3C9514B32FD4}"/>
    <hyperlink ref="B324" r:id="rId282" xr:uid="{3E1B41DA-688C-43D5-9CDB-2CFC393FB746}"/>
    <hyperlink ref="B325" r:id="rId283" xr:uid="{9DE5B3EF-A9E6-49DD-91C9-9CA610DFB9C9}"/>
    <hyperlink ref="B326" r:id="rId284" xr:uid="{BF8A59AB-89D5-48A1-A8F8-BFE06E27D634}"/>
    <hyperlink ref="B327" r:id="rId285" xr:uid="{6B27D95E-E5CA-476F-B80C-B1D28EAA3DF1}"/>
    <hyperlink ref="B328" r:id="rId286" xr:uid="{FA331E81-33C5-4982-91FE-5972925A0B2B}"/>
    <hyperlink ref="B329" r:id="rId287" xr:uid="{7E1A8E93-C47F-4A4C-949D-B784104B94CD}"/>
    <hyperlink ref="B330" r:id="rId288" xr:uid="{24BB1B0C-D21F-4EA4-9FE0-AFB6565B9B1B}"/>
    <hyperlink ref="B331" r:id="rId289" xr:uid="{0C79C4D3-7ED0-4721-A856-40B65DEA6888}"/>
    <hyperlink ref="B332" r:id="rId290" xr:uid="{EB09AD77-ED9C-4E86-B271-038514387EE0}"/>
    <hyperlink ref="B333" r:id="rId291" xr:uid="{861A58BD-3A75-46E3-A1A5-D621A4910EB7}"/>
    <hyperlink ref="B334" r:id="rId292" xr:uid="{757624CF-9754-4BA1-9289-22AEB1326687}"/>
    <hyperlink ref="B335" r:id="rId293" xr:uid="{6BFDAEB5-6056-46A6-AB6E-37BCEC283591}"/>
    <hyperlink ref="B336" r:id="rId294" xr:uid="{27BC190E-BC23-426C-9C9D-7C5A7A8D773D}"/>
    <hyperlink ref="B337" r:id="rId295" xr:uid="{BD34E7A6-4A5F-4F6B-B3C5-9F3C370BE53C}"/>
    <hyperlink ref="B339" r:id="rId296" xr:uid="{F8BA435E-97F2-4236-853E-034365D66241}"/>
    <hyperlink ref="B340" r:id="rId297" xr:uid="{CF715E56-CEFC-4C40-A5A0-8D1DA88211C9}"/>
    <hyperlink ref="B341" r:id="rId298" xr:uid="{1B79F0A3-AB24-43A0-848A-3F8B9FC9077D}"/>
    <hyperlink ref="B342" r:id="rId299" xr:uid="{770144A0-5EAE-411F-AA16-F932BF16B5C8}"/>
    <hyperlink ref="B343" r:id="rId300" xr:uid="{1F500E46-238B-4A20-990B-2F1E13B03043}"/>
    <hyperlink ref="B344" r:id="rId301" xr:uid="{43E278C2-DAC1-4D7D-B026-8E184F86F04A}"/>
    <hyperlink ref="B345" r:id="rId302" xr:uid="{A7D40189-0E97-4F67-947A-204A6262C5A9}"/>
    <hyperlink ref="B346" r:id="rId303" xr:uid="{DAA4EBDE-3655-4C64-AAF7-E3CE7AB78DCD}"/>
    <hyperlink ref="B338" r:id="rId304" xr:uid="{144C9DC9-396B-4639-BF73-57D3BF09615A}"/>
  </hyperlinks>
  <pageMargins left="0.75" right="0.75" top="1" bottom="1" header="0.5" footer="0.5"/>
  <legacyDrawing r:id="rId305"/>
  <tableParts count="1">
    <tablePart r:id="rId30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A2DB-7FB9-4D28-AA25-BA2017B7638F}">
  <dimension ref="B2:Q3"/>
  <sheetViews>
    <sheetView workbookViewId="0">
      <selection activeCell="D13" sqref="D13"/>
    </sheetView>
  </sheetViews>
  <sheetFormatPr defaultRowHeight="14.5" x14ac:dyDescent="0.35"/>
  <cols>
    <col min="2" max="2" width="18.08984375" bestFit="1" customWidth="1"/>
    <col min="3" max="3" width="6.6328125" bestFit="1" customWidth="1"/>
    <col min="4" max="12" width="5.08984375" bestFit="1" customWidth="1"/>
    <col min="13" max="16" width="6.08984375" bestFit="1" customWidth="1"/>
  </cols>
  <sheetData>
    <row r="2" spans="2:17" x14ac:dyDescent="0.35">
      <c r="B2" t="s">
        <v>810</v>
      </c>
      <c r="C2" s="11">
        <v>45747</v>
      </c>
      <c r="D2" s="11">
        <v>45748</v>
      </c>
      <c r="E2" s="11">
        <v>45749</v>
      </c>
      <c r="F2" s="11">
        <v>45750</v>
      </c>
      <c r="G2" s="11">
        <v>45751</v>
      </c>
      <c r="H2" s="11">
        <v>45752</v>
      </c>
      <c r="I2" s="11">
        <v>45753</v>
      </c>
      <c r="J2" s="11">
        <v>45754</v>
      </c>
      <c r="K2" s="11">
        <v>45755</v>
      </c>
      <c r="L2" s="11">
        <v>45756</v>
      </c>
      <c r="M2" s="11">
        <v>45757</v>
      </c>
      <c r="N2" s="11">
        <v>45758</v>
      </c>
      <c r="O2" s="11">
        <v>45759</v>
      </c>
      <c r="P2" s="11">
        <v>45760</v>
      </c>
      <c r="Q2" s="11"/>
    </row>
    <row r="3" spans="2:17" x14ac:dyDescent="0.35">
      <c r="B3" t="s">
        <v>811</v>
      </c>
      <c r="C3">
        <f>(Stats!$E$6)/($P$2-C2-1)</f>
        <v>0</v>
      </c>
      <c r="D3">
        <f>(Stats!$E$6)/($P$2-D2)</f>
        <v>0</v>
      </c>
      <c r="E3">
        <f>(Stats!$E$6)/($P$2-E2)</f>
        <v>0</v>
      </c>
      <c r="F3">
        <f>(Stats!$E$6)/($P$2-F2)</f>
        <v>0</v>
      </c>
      <c r="G3">
        <f>(Stats!$E$6)/($P$2-G2)</f>
        <v>0</v>
      </c>
      <c r="H3">
        <f>(Stats!$E$6)/($P$2-H2)</f>
        <v>0</v>
      </c>
      <c r="I3">
        <f>(Stats!$E$6)/($P$2-I2)</f>
        <v>0</v>
      </c>
      <c r="J3">
        <f>(Stats!$E$6)/($P$2-J2)</f>
        <v>0</v>
      </c>
      <c r="K3">
        <f>(Stats!$E$6)/($P$2-K2)</f>
        <v>0</v>
      </c>
      <c r="L3">
        <f>(Stats!$E$6)/($P$2-L2)</f>
        <v>0</v>
      </c>
      <c r="M3">
        <f>(Stats!$E$6)/($P$2-M2)</f>
        <v>0</v>
      </c>
      <c r="N3">
        <f>(Stats!$E$6)/($P$2-N2)</f>
        <v>0</v>
      </c>
      <c r="O3">
        <f>(Stats!$E$6)/($P$2-O2)</f>
        <v>0</v>
      </c>
    </row>
  </sheetData>
  <phoneticPr fontId="5" type="noConversion"/>
  <conditionalFormatting sqref="C2:O2">
    <cfRule type="expression" dxfId="28" priority="1">
      <formula>C2=TODAY()</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AD51A-CB0F-4D2C-9B84-C427FB230DBF}">
  <dimension ref="B1:F7"/>
  <sheetViews>
    <sheetView tabSelected="1" zoomScale="119" workbookViewId="0"/>
  </sheetViews>
  <sheetFormatPr defaultRowHeight="14.5" x14ac:dyDescent="0.35"/>
  <cols>
    <col min="2" max="2" width="11.81640625" bestFit="1" customWidth="1"/>
    <col min="3" max="3" width="25.6328125" bestFit="1" customWidth="1"/>
    <col min="5" max="5" width="15.1796875" bestFit="1" customWidth="1"/>
  </cols>
  <sheetData>
    <row r="1" spans="2:6" x14ac:dyDescent="0.35">
      <c r="B1" s="16"/>
      <c r="C1" s="16" t="s">
        <v>717</v>
      </c>
      <c r="D1" s="16"/>
      <c r="E1" s="16"/>
    </row>
    <row r="2" spans="2:6" x14ac:dyDescent="0.35">
      <c r="B2" s="16"/>
      <c r="C2" s="16" t="s">
        <v>716</v>
      </c>
      <c r="D2" s="16" t="s">
        <v>719</v>
      </c>
      <c r="E2" s="16" t="s">
        <v>790</v>
      </c>
    </row>
    <row r="3" spans="2:6" x14ac:dyDescent="0.35">
      <c r="B3" s="16" t="s">
        <v>718</v>
      </c>
      <c r="C3" s="16">
        <f>C4+C5+C6</f>
        <v>345</v>
      </c>
      <c r="D3" s="16">
        <f>C4</f>
        <v>108</v>
      </c>
      <c r="E3" s="16">
        <f>D4</f>
        <v>56</v>
      </c>
    </row>
    <row r="4" spans="2:6" x14ac:dyDescent="0.35">
      <c r="B4" s="16" t="s">
        <v>714</v>
      </c>
      <c r="C4" s="16">
        <f>COUNTIF(Table1[Irrelevant title/abstract], FALSE)</f>
        <v>108</v>
      </c>
      <c r="D4" s="16">
        <f>D3-D5-D7</f>
        <v>56</v>
      </c>
      <c r="E4" s="16">
        <f>COUNTIF(Screening!AF2:AF339, TRUE)</f>
        <v>5</v>
      </c>
      <c r="F4" s="13">
        <f>E4/E3</f>
        <v>8.9285714285714288E-2</v>
      </c>
    </row>
    <row r="5" spans="2:6" x14ac:dyDescent="0.35">
      <c r="B5" s="16" t="s">
        <v>713</v>
      </c>
      <c r="C5" s="16">
        <f>COUNTIF(Table1[Irrelevant title/abstract], TRUE)</f>
        <v>237</v>
      </c>
      <c r="D5" s="16">
        <f>COUNTIF(Table1[Discarded after full-text review], TRUE) - D7</f>
        <v>50</v>
      </c>
      <c r="E5" s="16">
        <f>COUNTIF(Screening!AF2:AF339, FALSE)</f>
        <v>51</v>
      </c>
      <c r="F5" s="13">
        <f>E5/E3</f>
        <v>0.9107142857142857</v>
      </c>
    </row>
    <row r="6" spans="2:6" x14ac:dyDescent="0.35">
      <c r="B6" s="16" t="s">
        <v>715</v>
      </c>
      <c r="C6" s="16">
        <f>COUNTIF(Table1[Irrelevant title/abstract], "")</f>
        <v>0</v>
      </c>
      <c r="D6" s="16">
        <f>D3-D4-D5-D7</f>
        <v>0</v>
      </c>
      <c r="E6" s="16">
        <f>E3-E4-E5</f>
        <v>0</v>
      </c>
      <c r="F6" s="13">
        <f>E6/E3</f>
        <v>0</v>
      </c>
    </row>
    <row r="7" spans="2:6" x14ac:dyDescent="0.35">
      <c r="B7" s="16" t="s">
        <v>746</v>
      </c>
      <c r="C7" s="17" t="s">
        <v>787</v>
      </c>
      <c r="D7" s="16">
        <f>COUNTIF(Table1[Not retrieved], TRUE)</f>
        <v>2</v>
      </c>
      <c r="E7" s="17" t="s">
        <v>787</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27FB04-AD87-4922-B781-114338D006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Screening</vt:lpstr>
      <vt:lpstr>Daily plan</vt:lpstr>
      <vt:lpstr>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Danylenko</cp:lastModifiedBy>
  <dcterms:created xsi:type="dcterms:W3CDTF">2025-03-11T15:20:17Z</dcterms:created>
  <dcterms:modified xsi:type="dcterms:W3CDTF">2025-09-10T18:46:31Z</dcterms:modified>
</cp:coreProperties>
</file>